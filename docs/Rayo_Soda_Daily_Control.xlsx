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e09c7cda6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گزارش روز" sheetId="1" r:id="Rb248a742856b41be"/>
    <x:sheet xmlns:r="http://schemas.openxmlformats.org/officeDocument/2006/relationships" name="ثبت شمارش" sheetId="2" r:id="R7a28f79c0e15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#,##0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sz val="11"/>
      <x:color rgb="FF55555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B4C"/>
      </x:patternFill>
    </x:fill>
    <x:fill>
      <x:patternFill patternType="solid">
        <x:fgColor rgb="FFFFF4CD"/>
      </x:patternFill>
    </x:fill>
    <x:fill>
      <x:patternFill patternType="solid">
        <x:fgColor rgb="FFF0F3F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A52121"/>
      </x:font>
      <x:fill>
        <x:patternFill patternType="solid">
          <x:bgColor rgb="FFFDE0DE"/>
        </x:patternFill>
      </x:fill>
    </x:dxf>
    <x:dxf>
      <x:font>
        <x:b/>
        <x:color rgb="FF875000"/>
      </x:font>
      <x:fill>
        <x:patternFill patternType="solid">
          <x:bgColor rgb="FFFCE5BC"/>
        </x:patternFill>
      </x:fill>
    </x:dxf>
    <x:dxf>
      <x:font>
        <x:b/>
        <x:color rgb="FFA52121"/>
      </x:font>
      <x:fill>
        <x:patternFill patternType="solid">
          <x:bgColor rgb="FFFDE0DE"/>
        </x:patternFill>
      </x:fill>
    </x:dxf>
    <x:dxf>
      <x:font>
        <x:b/>
        <x:color rgb="FF875000"/>
      </x:font>
      <x:fill>
        <x:patternFill patternType="solid">
          <x:bgColor rgb="FFFCE5BC"/>
        </x:patternFill>
      </x:fill>
    </x:dxf>
    <x:dxf>
      <x:font>
        <x:b/>
        <x:color rgb="FFA52121"/>
      </x:font>
      <x:fill>
        <x:patternFill patternType="solid">
          <x:bgColor rgb="FFFDE0DE"/>
        </x:patternFill>
      </x:fill>
    </x:dxf>
    <x:dxf>
      <x:font>
        <x:b/>
        <x:color rgb="FF875000"/>
      </x:font>
      <x:fill>
        <x:patternFill patternType="solid">
          <x:bgColor rgb="FFFCE5BC"/>
        </x:patternFill>
      </x:fill>
    </x:dxf>
    <x:dxf>
      <x:font>
        <x:color rgb="FFA52121"/>
      </x:font>
      <x:fill>
        <x:patternFill patternType="solid">
          <x:bgColor rgb="FFFD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82f6482db42a0" /><Relationship Type="http://schemas.openxmlformats.org/officeDocument/2006/relationships/theme" Target="/xl/theme/theme1.xml" Id="R252a1124ec964e15" /><Relationship Type="http://schemas.openxmlformats.org/officeDocument/2006/relationships/sharedStrings" Target="/xl/sharedStrings.xml" Id="R00f690ebfa0f430b" /><Relationship Type="http://schemas.openxmlformats.org/officeDocument/2006/relationships/worksheet" Target="/xl/worksheets/sheet1.xml" Id="Rb248a742856b41be" /><Relationship Type="http://schemas.openxmlformats.org/officeDocument/2006/relationships/worksheet" Target="/xl/worksheets/sheet2.xml" Id="R7a28f79c0e1548c9" /></Relationships>
</file>

<file path=xl/tables/table1.xml><?xml version="1.0" encoding="utf-8"?>
<x:table xmlns:x="http://schemas.openxmlformats.org/spreadsheetml/2006/main" id="1" name="SodaDaily" displayName="SodaDaily" ref="A7:W507" headerRowCount="1" totalsRowCount="0" totalsRowShown="0">
  <x:tableColumns count="23">
    <x:tableColumn id="1" name="تاریخ کاری شمسی"/>
    <x:tableColumn id="2" name="نوع / برند / اندازه"/>
    <x:tableColumn id="3" name="شماره برگه"/>
    <x:tableColumn id="4" name="صبح بالا"/>
    <x:tableColumn id="5" name="صبح پایین"/>
    <x:tableColumn id="6" name="عصر بالا"/>
    <x:tableColumn id="7" name="عصر پایین"/>
    <x:tableColumn id="8" name="شب بالا"/>
    <x:tableColumn id="9" name="شب پایین"/>
    <x:tableColumn id="10" name="صبح بعد بالا"/>
    <x:tableColumn id="11" name="صبح بعد پایین"/>
    <x:tableColumn id="12" name="ورودی روز"/>
    <x:tableColumn id="13" name="خروج غیرفروش"/>
    <x:tableColumn id="14" name="فروش کل روز"/>
    <x:tableColumn id="15" name="جمع صبح"/>
    <x:tableColumn id="16" name="جمع شب"/>
    <x:tableColumn id="17" name="پایان مورد انتظار"/>
    <x:tableColumn id="18" name="مغایرت روزانه"/>
    <x:tableColumn id="19" name="شب تا صبح بالا"/>
    <x:tableColumn id="20" name="شب تا صبح پایین"/>
    <x:tableColumn id="21" name="وضعیت روزانه"/>
    <x:tableColumn id="22" name="کنترل تکرار"/>
    <x:tableColumn id="23" name="علت و پیگیر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e441c30b06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گزارش روزانه مغایرت نوشابه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 t="str">
        <x:v>تاریخ کاری شمسی</x:v>
      </x:c>
      <x:c r="B4" s="11"/>
      <x:c r="C4" s="2"/>
      <x:c r="D4" s="2"/>
      <x:c r="E4" s="2"/>
      <x:c r="F4" s="2"/>
    </x:row>
    <x:row r="5">
      <x:c r="A5" s="4" t="str">
        <x:v>تاریخ را دقیقاً مانند شیت ثبت شمارش وارد کنید؛ مثلاً 1405/07/01.</x:v>
      </x:c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0" customHeight="1">
      <x:c r="A7" s="6" t="str">
        <x:v>شاخص روز انتخاب‌شده</x:v>
      </x:c>
      <x:c r="B7" s="6" t="str">
        <x:v>تعداد</x:v>
      </x:c>
      <x:c r="C7" s="2"/>
      <x:c r="D7" s="2"/>
      <x:c r="E7" s="2"/>
      <x:c r="F7" s="2"/>
    </x:row>
    <x:row r="8" ht="29" customHeight="1">
      <x:c r="A8" s="2" t="str">
        <x:v>ردیف‌های ثبت‌شده</x:v>
      </x:c>
      <x:c r="B8" s="15" t="str">
        <x:f>IF($B$4="","",COUNTIFS('ثبت شمارش'!$A$8:$A$507,$B$4))</x:f>
      </x:c>
      <x:c r="C8" s="2"/>
      <x:c r="D8" s="2"/>
      <x:c r="E8" s="2"/>
      <x:c r="F8" s="2"/>
    </x:row>
    <x:row r="9" ht="29" customHeight="1">
      <x:c r="A9" s="2" t="str">
        <x:v>ردیف ناقص</x:v>
      </x:c>
      <x:c r="B9" s="15" t="str">
        <x:f>IF($B$4="","",COUNTIFS('ثبت شمارش'!$A$8:$A$507,$B$4,'ثبت شمارش'!$U$8:$U$507,"ناقص"))</x:f>
      </x:c>
      <x:c r="C9" s="2"/>
      <x:c r="D9" s="2"/>
      <x:c r="E9" s="2"/>
      <x:c r="F9" s="2"/>
    </x:row>
    <x:row r="10" ht="29" customHeight="1">
      <x:c r="A10" s="2" t="str">
        <x:v>ردیف تکراری</x:v>
      </x:c>
      <x:c r="B10" s="15" t="str">
        <x:f>IF($B$4="","",COUNTIFS('ثبت شمارش'!$A$8:$A$507,$B$4,'ثبت شمارش'!$V$8:$V$507,"ثبت تکراری"))</x:f>
      </x:c>
      <x:c r="C10" s="2"/>
      <x:c r="D10" s="2"/>
      <x:c r="E10" s="2"/>
      <x:c r="F10" s="2"/>
    </x:row>
    <x:row r="11" ht="29" customHeight="1">
      <x:c r="A11" s="2" t="str">
        <x:v>ردیف با ورودی نامعتبر</x:v>
      </x:c>
      <x:c r="B11" s="15" t="str">
        <x:f>IF($B$4="","",COUNTIFS('ثبت شمارش'!$A$8:$A$507,$B$4,'ثبت شمارش'!$U$8:$U$507,"ورودی نامعتبر"))</x:f>
      </x:c>
      <x:c r="C11" s="2"/>
      <x:c r="D11" s="2"/>
      <x:c r="E11" s="2"/>
      <x:c r="F11" s="2"/>
    </x:row>
    <x:row r="12" ht="29" customHeight="1">
      <x:c r="A12" s="2" t="str">
        <x:v>فروش ثبت‌شده روز</x:v>
      </x:c>
      <x:c r="B12" s="15" t="str">
        <x:f>IF($B$4="","",SUMIFS('ثبت شمارش'!$N$8:$N$507,'ثبت شمارش'!$A$8:$A$507,$B$4))</x:f>
      </x:c>
      <x:c r="C12" s="2"/>
      <x:c r="D12" s="2"/>
      <x:c r="E12" s="2"/>
      <x:c r="F12" s="2"/>
    </x:row>
    <x:row r="13" ht="29" customHeight="1">
      <x:c r="A13" s="2" t="str">
        <x:v>کسری روزانه به عدد مثبت</x:v>
      </x:c>
      <x:c r="B13" s="15" t="str">
        <x:f>IF($B$4="","",-SUMIFS('ثبت شمارش'!$R$8:$R$507,'ثبت شمارش'!$A$8:$A$507,$B$4,'ثبت شمارش'!$R$8:$R$507,"&lt;0"))</x:f>
      </x:c>
      <x:c r="C13" s="2"/>
      <x:c r="D13" s="2"/>
      <x:c r="E13" s="2"/>
      <x:c r="F13" s="2"/>
    </x:row>
    <x:row r="14" ht="29" customHeight="1">
      <x:c r="A14" s="2" t="str">
        <x:v>اضافه موجودی روزانه</x:v>
      </x:c>
      <x:c r="B14" s="15" t="str">
        <x:f>IF($B$4="","",SUMIFS('ثبت شمارش'!$R$8:$R$507,'ثبت شمارش'!$A$8:$A$507,$B$4,'ثبت شمارش'!$R$8:$R$507,"&gt;0"))</x:f>
      </x:c>
      <x:c r="C14" s="2"/>
      <x:c r="D14" s="2"/>
      <x:c r="E14" s="2"/>
      <x:c r="F14" s="2"/>
    </x:row>
    <x:row r="15" ht="29" customHeight="1">
      <x:c r="A15" s="2" t="str">
        <x:v>ردیف دارای کسری</x:v>
      </x:c>
      <x:c r="B15" s="15" t="str">
        <x:f>IF($B$4="","",COUNTIFS('ثبت شمارش'!$A$8:$A$507,$B$4,'ثبت شمارش'!$U$8:$U$507,"کسری"))</x:f>
      </x:c>
      <x:c r="C15" s="2"/>
      <x:c r="D15" s="2"/>
      <x:c r="E15" s="2"/>
      <x:c r="F15" s="2"/>
    </x:row>
    <x:row r="16" ht="29" customHeight="1">
      <x:c r="A16" s="2"/>
      <x:c r="B16" s="2"/>
      <x:c r="C16" s="2"/>
      <x:c r="D16" s="2"/>
      <x:c r="E16" s="2"/>
      <x:c r="F16" s="2"/>
    </x:row>
    <x:row r="17" ht="29" customHeight="1">
      <x:c r="A17" s="2" t="str">
        <x:v>وضعیت بررسی</x:v>
      </x:c>
      <x:c r="B17" s="14" t="str">
        <x:f>IF(B4="","تاریخ را وارد کنید",IF(B8=0,"داده‌ای ثبت نشده",IF(SUM(B9:B11)&gt;0,"نیاز به اصلاح داده","قابل بررسی")))</x:f>
        <x:v>تاریخ را وارد کنید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4" t="str">
        <x:v>جمع‌ها شامل ردیف‌های موجودند؛ تا رفع ناقص، نامعتبر یا تکراری، نتیجه روز نهایی نیست.</x:v>
      </x:c>
      <x:c r="B19" s="2"/>
      <x:c r="C19" s="2"/>
      <x:c r="D19" s="2"/>
      <x:c r="E19" s="2"/>
      <x:c r="F19" s="2"/>
    </x:row>
    <x:row r="20">
      <x:c r="A20" s="4" t="str">
        <x:v>برای جزئیات، شیت ثبت شمارش را روی تاریخ و وضعیت کسری فیلتر کنید.</x:v>
      </x:c>
      <x:c r="B20" s="2"/>
      <x:c r="C20" s="2"/>
      <x:c r="D20" s="2"/>
      <x:c r="E20" s="2"/>
      <x:c r="F20" s="2"/>
    </x:row>
    <x:row r="21">
      <x:c r="A21" s="4" t="str">
        <x:v>شمارش عصر برای پیگیری شیفت نگه داشته می‌شود؛ محاسبه اصلی با فروش کل روز است.</x:v>
      </x:c>
      <x:c r="B21" s="2"/>
      <x:c r="C21" s="2"/>
      <x:c r="D21" s="2"/>
      <x:c r="E21" s="2"/>
      <x:c r="F21" s="2"/>
    </x:row>
    <x:row r="22">
      <x:c r="A22" s="4" t="str">
        <x:v>خانه‌های خالی را صفر فرض نکنید. نام یک نوشابه را در روزهای مختلف یکسان بنویسید.</x:v>
      </x:c>
      <x:c r="B22" s="2"/>
      <x:c r="C22" s="2"/>
      <x:c r="D22" s="2"/>
      <x:c r="E22" s="2"/>
      <x:c r="F22" s="2"/>
    </x:row>
    <x:row r="23">
      <x:c r="A23" s="4" t="str">
        <x:v>فرمول: موجودی صبح + ورودی − خروج غیرفروش − فروش روز = موجودی مورد انتظار.</x:v>
      </x:c>
      <x:c r="B23" s="2"/>
      <x:c r="C23" s="2"/>
      <x:c r="D23" s="2"/>
      <x:c r="E23" s="2"/>
      <x:c r="F23" s="2"/>
    </x:row>
    <x:row r="24">
      <x:c r="A24" s="4" t="str">
        <x:v>مغایرت روزانه = شمارش شب − موجودی مورد انتظار؛ منفی یعنی کسری.</x:v>
      </x:c>
      <x:c r="B24" s="2"/>
      <x:c r="C24" s="2"/>
      <x:c r="D24" s="2"/>
      <x:c r="E24" s="2"/>
      <x:c r="F24" s="2"/>
    </x:row>
    <x:row r="25">
      <x:c r="A25" s="4" t="str">
        <x:v>اختلاف شب تا صبح هر یخچال خام است و با ورود، برداشت یا انتقال ثبت‌شده باید بررسی شود.</x:v>
      </x:c>
      <x:c r="B25" s="2"/>
      <x:c r="C25" s="2"/>
      <x:c r="D25" s="2"/>
      <x:c r="E25" s="2"/>
      <x:c r="F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20" hidden="0" customWidth="1"/>
    <x:col min="22" max="22" width="20" hidden="0" customWidth="1"/>
    <x:col min="23" max="23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4" customHeight="1">
      <x:c r="A2" s="3" t="str">
        <x:v>ثبت روزانه نوشابه رایو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tr">
        <x:v>هر ردیف یک نوع، برند و اندازه در یک روز. خانه‌های زرد ورودی و ستون‌های خاکستری محاسباتی‌اند.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4" t="str">
        <x:v>تاریخ شمسی را یکسان با اعداد انگلیسی بنویسید: 1405/07/01. برای تعدادِ صفر، عدد 0 وارد کنید؛ خالی یعنی ثبت نشده.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4" t="str">
        <x:v>فروش از شمارش صبح تا پایان شب است. انتقال بین دو یخچال ورودی یا خروج روزانه نیست. ظرفیت فرم: 500 ردیف.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4" t="str">
        <x:v>خروج غیرفروش: پرسنلی، مهمان، ضایعات و برگشت به انبار؛ اگر در فروش آمده دوباره کسر نشود. اختلاف شب تا صبح خام است؛ جابه‌جایی را در توضیحات بنویسید.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46" customHeight="1">
      <x:c r="A7" s="8" t="str">
        <x:v>تاریخ کاری شمسی</x:v>
      </x:c>
      <x:c r="B7" s="8" t="str">
        <x:v>نوع / برند / اندازه</x:v>
      </x:c>
      <x:c r="C7" s="8" t="str">
        <x:v>شماره برگه</x:v>
      </x:c>
      <x:c r="D7" s="8" t="str">
        <x:v>صبح بالا</x:v>
      </x:c>
      <x:c r="E7" s="8" t="str">
        <x:v>صبح پایین</x:v>
      </x:c>
      <x:c r="F7" s="8" t="str">
        <x:v>عصر بالا</x:v>
      </x:c>
      <x:c r="G7" s="8" t="str">
        <x:v>عصر پایین</x:v>
      </x:c>
      <x:c r="H7" s="8" t="str">
        <x:v>شب بالا</x:v>
      </x:c>
      <x:c r="I7" s="8" t="str">
        <x:v>شب پایین</x:v>
      </x:c>
      <x:c r="J7" s="8" t="str">
        <x:v>صبح بعد بالا</x:v>
      </x:c>
      <x:c r="K7" s="8" t="str">
        <x:v>صبح بعد پایین</x:v>
      </x:c>
      <x:c r="L7" s="8" t="str">
        <x:v>ورودی روز</x:v>
      </x:c>
      <x:c r="M7" s="8" t="str">
        <x:v>خروج غیرفروش</x:v>
      </x:c>
      <x:c r="N7" s="8" t="str">
        <x:v>فروش کل روز</x:v>
      </x:c>
      <x:c r="O7" s="8" t="str">
        <x:v>جمع صبح</x:v>
      </x:c>
      <x:c r="P7" s="8" t="str">
        <x:v>جمع شب</x:v>
      </x:c>
      <x:c r="Q7" s="8" t="str">
        <x:v>پایان مورد انتظار</x:v>
      </x:c>
      <x:c r="R7" s="8" t="str">
        <x:v>مغایرت روزانه</x:v>
      </x:c>
      <x:c r="S7" s="8" t="str">
        <x:v>شب تا صبح بالا</x:v>
      </x:c>
      <x:c r="T7" s="8" t="str">
        <x:v>شب تا صبح پایین</x:v>
      </x:c>
      <x:c r="U7" s="8" t="str">
        <x:v>وضعیت روزانه</x:v>
      </x:c>
      <x:c r="V7" s="8" t="str">
        <x:v>کنترل تکرار</x:v>
      </x:c>
      <x:c r="W7" s="8" t="str">
        <x:v>علت و پیگیری</x:v>
      </x:c>
    </x:row>
    <x:row r="8" ht="25" customHeight="1">
      <x:c r="A8" s="11"/>
      <x:c r="B8" s="11"/>
      <x:c r="C8" s="11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3" t="str">
        <x:f>IF(COUNT(D8:E8)=2,SUM(D8:E8),"")</x:f>
      </x:c>
      <x:c r="P8" s="13" t="str">
        <x:f>IF(COUNT(H8:I8)=2,SUM(H8:I8),"")</x:f>
      </x:c>
      <x:c r="Q8" s="13" t="str">
        <x:f>IF(AND(ISNUMBER(O8),COUNT(L8:N8)=3),O8+L8-M8-N8,"")</x:f>
      </x:c>
      <x:c r="R8" s="13" t="str">
        <x:f>IF(AND(A8&lt;&gt;"",B8&lt;&gt;"",ISNUMBER(P8),ISNUMBER(Q8)),P8-Q8,"")</x:f>
      </x:c>
      <x:c r="S8" s="13" t="str">
        <x:f>IF(COUNT(H8,J8)=2,J8-H8,"")</x:f>
      </x:c>
      <x:c r="T8" s="13" t="str">
        <x:f>IF(COUNT(I8,K8)=2,K8-I8,"")</x:f>
      </x:c>
      <x:c r="U8" s="10" t="str">
        <x:f>IF(NOT(OR(A8&lt;&gt;"",B8&lt;&gt;"",COUNT(D8:N8)&gt;0)),"",IF(OR(A8="",B8="",COUNT(D8:E8,H8:I8,L8:N8)&lt;&gt;7),"ناقص",IF(OR(MIN(D8:E8,H8:I8,L8:N8)&lt;0,Q8&lt;0),"ورودی نامعتبر",IF(R8&lt;0,"کسری",IF(R8&gt;0,"اضافه","بدون مغایرت")))))</x:f>
      </x:c>
      <x:c r="V8" s="10" t="str">
        <x:f>IF(OR(A8="",B8=""),"",IF(COUNTIFS($A$8:$A$507,A8,$B$8:$B$507,B8)&gt;1,"ثبت تکراری",""))</x:f>
      </x:c>
      <x:c r="W8" s="9"/>
    </x:row>
    <x:row r="9" ht="25" customHeight="1">
      <x:c r="A9" s="11"/>
      <x:c r="B9" s="11"/>
      <x:c r="C9" s="11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3" t="str">
        <x:f>IF(COUNT(D9:E9)=2,SUM(D9:E9),"")</x:f>
      </x:c>
      <x:c r="P9" s="13" t="str">
        <x:f>IF(COUNT(H9:I9)=2,SUM(H9:I9),"")</x:f>
      </x:c>
      <x:c r="Q9" s="13" t="str">
        <x:f>IF(AND(ISNUMBER(O9),COUNT(L9:N9)=3),O9+L9-M9-N9,"")</x:f>
      </x:c>
      <x:c r="R9" s="13" t="str">
        <x:f>IF(AND(A9&lt;&gt;"",B9&lt;&gt;"",ISNUMBER(P9),ISNUMBER(Q9)),P9-Q9,"")</x:f>
      </x:c>
      <x:c r="S9" s="13" t="str">
        <x:f>IF(COUNT(H9,J9)=2,J9-H9,"")</x:f>
      </x:c>
      <x:c r="T9" s="13" t="str">
        <x:f>IF(COUNT(I9,K9)=2,K9-I9,"")</x:f>
      </x:c>
      <x:c r="U9" s="10" t="str">
        <x:f>IF(NOT(OR(A9&lt;&gt;"",B9&lt;&gt;"",COUNT(D9:N9)&gt;0)),"",IF(OR(A9="",B9="",COUNT(D9:E9,H9:I9,L9:N9)&lt;&gt;7),"ناقص",IF(OR(MIN(D9:E9,H9:I9,L9:N9)&lt;0,Q9&lt;0),"ورودی نامعتبر",IF(R9&lt;0,"کسری",IF(R9&gt;0,"اضافه","بدون مغایرت")))))</x:f>
      </x:c>
      <x:c r="V9" s="10" t="str">
        <x:f>IF(OR(A9="",B9=""),"",IF(COUNTIFS($A$8:$A$507,A9,$B$8:$B$507,B9)&gt;1,"ثبت تکراری",""))</x:f>
      </x:c>
      <x:c r="W9" s="9"/>
    </x:row>
    <x:row r="10" ht="25" customHeight="1">
      <x:c r="A10" s="11"/>
      <x:c r="B10" s="11"/>
      <x:c r="C10" s="11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3" t="str">
        <x:f>IF(COUNT(D10:E10)=2,SUM(D10:E10),"")</x:f>
      </x:c>
      <x:c r="P10" s="13" t="str">
        <x:f>IF(COUNT(H10:I10)=2,SUM(H10:I10),"")</x:f>
      </x:c>
      <x:c r="Q10" s="13" t="str">
        <x:f>IF(AND(ISNUMBER(O10),COUNT(L10:N10)=3),O10+L10-M10-N10,"")</x:f>
      </x:c>
      <x:c r="R10" s="13" t="str">
        <x:f>IF(AND(A10&lt;&gt;"",B10&lt;&gt;"",ISNUMBER(P10),ISNUMBER(Q10)),P10-Q10,"")</x:f>
      </x:c>
      <x:c r="S10" s="13" t="str">
        <x:f>IF(COUNT(H10,J10)=2,J10-H10,"")</x:f>
      </x:c>
      <x:c r="T10" s="13" t="str">
        <x:f>IF(COUNT(I10,K10)=2,K10-I10,"")</x:f>
      </x:c>
      <x:c r="U10" s="10" t="str">
        <x:f>IF(NOT(OR(A10&lt;&gt;"",B10&lt;&gt;"",COUNT(D10:N10)&gt;0)),"",IF(OR(A10="",B10="",COUNT(D10:E10,H10:I10,L10:N10)&lt;&gt;7),"ناقص",IF(OR(MIN(D10:E10,H10:I10,L10:N10)&lt;0,Q10&lt;0),"ورودی نامعتبر",IF(R10&lt;0,"کسری",IF(R10&gt;0,"اضافه","بدون مغایرت")))))</x:f>
      </x:c>
      <x:c r="V10" s="10" t="str">
        <x:f>IF(OR(A10="",B10=""),"",IF(COUNTIFS($A$8:$A$507,A10,$B$8:$B$507,B10)&gt;1,"ثبت تکراری",""))</x:f>
      </x:c>
      <x:c r="W10" s="9"/>
    </x:row>
    <x:row r="11" ht="25" customHeight="1">
      <x:c r="A11" s="11"/>
      <x:c r="B11" s="11"/>
      <x:c r="C11" s="11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3" t="str">
        <x:f>IF(COUNT(D11:E11)=2,SUM(D11:E11),"")</x:f>
      </x:c>
      <x:c r="P11" s="13" t="str">
        <x:f>IF(COUNT(H11:I11)=2,SUM(H11:I11),"")</x:f>
      </x:c>
      <x:c r="Q11" s="13" t="str">
        <x:f>IF(AND(ISNUMBER(O11),COUNT(L11:N11)=3),O11+L11-M11-N11,"")</x:f>
      </x:c>
      <x:c r="R11" s="13" t="str">
        <x:f>IF(AND(A11&lt;&gt;"",B11&lt;&gt;"",ISNUMBER(P11),ISNUMBER(Q11)),P11-Q11,"")</x:f>
      </x:c>
      <x:c r="S11" s="13" t="str">
        <x:f>IF(COUNT(H11,J11)=2,J11-H11,"")</x:f>
      </x:c>
      <x:c r="T11" s="13" t="str">
        <x:f>IF(COUNT(I11,K11)=2,K11-I11,"")</x:f>
      </x:c>
      <x:c r="U11" s="10" t="str">
        <x:f>IF(NOT(OR(A11&lt;&gt;"",B11&lt;&gt;"",COUNT(D11:N11)&gt;0)),"",IF(OR(A11="",B11="",COUNT(D11:E11,H11:I11,L11:N11)&lt;&gt;7),"ناقص",IF(OR(MIN(D11:E11,H11:I11,L11:N11)&lt;0,Q11&lt;0),"ورودی نامعتبر",IF(R11&lt;0,"کسری",IF(R11&gt;0,"اضافه","بدون مغایرت")))))</x:f>
      </x:c>
      <x:c r="V11" s="10" t="str">
        <x:f>IF(OR(A11="",B11=""),"",IF(COUNTIFS($A$8:$A$507,A11,$B$8:$B$507,B11)&gt;1,"ثبت تکراری",""))</x:f>
      </x:c>
      <x:c r="W11" s="9"/>
    </x:row>
    <x:row r="12" ht="25" customHeight="1">
      <x:c r="A12" s="11"/>
      <x:c r="B12" s="11"/>
      <x:c r="C12" s="11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3" t="str">
        <x:f>IF(COUNT(D12:E12)=2,SUM(D12:E12),"")</x:f>
      </x:c>
      <x:c r="P12" s="13" t="str">
        <x:f>IF(COUNT(H12:I12)=2,SUM(H12:I12),"")</x:f>
      </x:c>
      <x:c r="Q12" s="13" t="str">
        <x:f>IF(AND(ISNUMBER(O12),COUNT(L12:N12)=3),O12+L12-M12-N12,"")</x:f>
      </x:c>
      <x:c r="R12" s="13" t="str">
        <x:f>IF(AND(A12&lt;&gt;"",B12&lt;&gt;"",ISNUMBER(P12),ISNUMBER(Q12)),P12-Q12,"")</x:f>
      </x:c>
      <x:c r="S12" s="13" t="str">
        <x:f>IF(COUNT(H12,J12)=2,J12-H12,"")</x:f>
      </x:c>
      <x:c r="T12" s="13" t="str">
        <x:f>IF(COUNT(I12,K12)=2,K12-I12,"")</x:f>
      </x:c>
      <x:c r="U12" s="10" t="str">
        <x:f>IF(NOT(OR(A12&lt;&gt;"",B12&lt;&gt;"",COUNT(D12:N12)&gt;0)),"",IF(OR(A12="",B12="",COUNT(D12:E12,H12:I12,L12:N12)&lt;&gt;7),"ناقص",IF(OR(MIN(D12:E12,H12:I12,L12:N12)&lt;0,Q12&lt;0),"ورودی نامعتبر",IF(R12&lt;0,"کسری",IF(R12&gt;0,"اضافه","بدون مغایرت")))))</x:f>
      </x:c>
      <x:c r="V12" s="10" t="str">
        <x:f>IF(OR(A12="",B12=""),"",IF(COUNTIFS($A$8:$A$507,A12,$B$8:$B$507,B12)&gt;1,"ثبت تکراری",""))</x:f>
      </x:c>
      <x:c r="W12" s="9"/>
    </x:row>
    <x:row r="13" ht="25" customHeight="1">
      <x:c r="A13" s="11"/>
      <x:c r="B13" s="11"/>
      <x:c r="C13" s="11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3" t="str">
        <x:f>IF(COUNT(D13:E13)=2,SUM(D13:E13),"")</x:f>
      </x:c>
      <x:c r="P13" s="13" t="str">
        <x:f>IF(COUNT(H13:I13)=2,SUM(H13:I13),"")</x:f>
      </x:c>
      <x:c r="Q13" s="13" t="str">
        <x:f>IF(AND(ISNUMBER(O13),COUNT(L13:N13)=3),O13+L13-M13-N13,"")</x:f>
      </x:c>
      <x:c r="R13" s="13" t="str">
        <x:f>IF(AND(A13&lt;&gt;"",B13&lt;&gt;"",ISNUMBER(P13),ISNUMBER(Q13)),P13-Q13,"")</x:f>
      </x:c>
      <x:c r="S13" s="13" t="str">
        <x:f>IF(COUNT(H13,J13)=2,J13-H13,"")</x:f>
      </x:c>
      <x:c r="T13" s="13" t="str">
        <x:f>IF(COUNT(I13,K13)=2,K13-I13,"")</x:f>
      </x:c>
      <x:c r="U13" s="10" t="str">
        <x:f>IF(NOT(OR(A13&lt;&gt;"",B13&lt;&gt;"",COUNT(D13:N13)&gt;0)),"",IF(OR(A13="",B13="",COUNT(D13:E13,H13:I13,L13:N13)&lt;&gt;7),"ناقص",IF(OR(MIN(D13:E13,H13:I13,L13:N13)&lt;0,Q13&lt;0),"ورودی نامعتبر",IF(R13&lt;0,"کسری",IF(R13&gt;0,"اضافه","بدون مغایرت")))))</x:f>
      </x:c>
      <x:c r="V13" s="10" t="str">
        <x:f>IF(OR(A13="",B13=""),"",IF(COUNTIFS($A$8:$A$507,A13,$B$8:$B$507,B13)&gt;1,"ثبت تکراری",""))</x:f>
      </x:c>
      <x:c r="W13" s="9"/>
    </x:row>
    <x:row r="14" ht="25" customHeight="1">
      <x:c r="A14" s="11"/>
      <x:c r="B14" s="11"/>
      <x:c r="C14" s="11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3" t="str">
        <x:f>IF(COUNT(D14:E14)=2,SUM(D14:E14),"")</x:f>
      </x:c>
      <x:c r="P14" s="13" t="str">
        <x:f>IF(COUNT(H14:I14)=2,SUM(H14:I14),"")</x:f>
      </x:c>
      <x:c r="Q14" s="13" t="str">
        <x:f>IF(AND(ISNUMBER(O14),COUNT(L14:N14)=3),O14+L14-M14-N14,"")</x:f>
      </x:c>
      <x:c r="R14" s="13" t="str">
        <x:f>IF(AND(A14&lt;&gt;"",B14&lt;&gt;"",ISNUMBER(P14),ISNUMBER(Q14)),P14-Q14,"")</x:f>
      </x:c>
      <x:c r="S14" s="13" t="str">
        <x:f>IF(COUNT(H14,J14)=2,J14-H14,"")</x:f>
      </x:c>
      <x:c r="T14" s="13" t="str">
        <x:f>IF(COUNT(I14,K14)=2,K14-I14,"")</x:f>
      </x:c>
      <x:c r="U14" s="10" t="str">
        <x:f>IF(NOT(OR(A14&lt;&gt;"",B14&lt;&gt;"",COUNT(D14:N14)&gt;0)),"",IF(OR(A14="",B14="",COUNT(D14:E14,H14:I14,L14:N14)&lt;&gt;7),"ناقص",IF(OR(MIN(D14:E14,H14:I14,L14:N14)&lt;0,Q14&lt;0),"ورودی نامعتبر",IF(R14&lt;0,"کسری",IF(R14&gt;0,"اضافه","بدون مغایرت")))))</x:f>
      </x:c>
      <x:c r="V14" s="10" t="str">
        <x:f>IF(OR(A14="",B14=""),"",IF(COUNTIFS($A$8:$A$507,A14,$B$8:$B$507,B14)&gt;1,"ثبت تکراری",""))</x:f>
      </x:c>
      <x:c r="W14" s="9"/>
    </x:row>
    <x:row r="15" ht="25" customHeight="1">
      <x:c r="A15" s="11"/>
      <x:c r="B15" s="11"/>
      <x:c r="C15" s="11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3" t="str">
        <x:f>IF(COUNT(D15:E15)=2,SUM(D15:E15),"")</x:f>
      </x:c>
      <x:c r="P15" s="13" t="str">
        <x:f>IF(COUNT(H15:I15)=2,SUM(H15:I15),"")</x:f>
      </x:c>
      <x:c r="Q15" s="13" t="str">
        <x:f>IF(AND(ISNUMBER(O15),COUNT(L15:N15)=3),O15+L15-M15-N15,"")</x:f>
      </x:c>
      <x:c r="R15" s="13" t="str">
        <x:f>IF(AND(A15&lt;&gt;"",B15&lt;&gt;"",ISNUMBER(P15),ISNUMBER(Q15)),P15-Q15,"")</x:f>
      </x:c>
      <x:c r="S15" s="13" t="str">
        <x:f>IF(COUNT(H15,J15)=2,J15-H15,"")</x:f>
      </x:c>
      <x:c r="T15" s="13" t="str">
        <x:f>IF(COUNT(I15,K15)=2,K15-I15,"")</x:f>
      </x:c>
      <x:c r="U15" s="10" t="str">
        <x:f>IF(NOT(OR(A15&lt;&gt;"",B15&lt;&gt;"",COUNT(D15:N15)&gt;0)),"",IF(OR(A15="",B15="",COUNT(D15:E15,H15:I15,L15:N15)&lt;&gt;7),"ناقص",IF(OR(MIN(D15:E15,H15:I15,L15:N15)&lt;0,Q15&lt;0),"ورودی نامعتبر",IF(R15&lt;0,"کسری",IF(R15&gt;0,"اضافه","بدون مغایرت")))))</x:f>
      </x:c>
      <x:c r="V15" s="10" t="str">
        <x:f>IF(OR(A15="",B15=""),"",IF(COUNTIFS($A$8:$A$507,A15,$B$8:$B$507,B15)&gt;1,"ثبت تکراری",""))</x:f>
      </x:c>
      <x:c r="W15" s="9"/>
    </x:row>
    <x:row r="16" ht="25" customHeight="1">
      <x:c r="A16" s="11"/>
      <x:c r="B16" s="11"/>
      <x:c r="C16" s="11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3" t="str">
        <x:f>IF(COUNT(D16:E16)=2,SUM(D16:E16),"")</x:f>
      </x:c>
      <x:c r="P16" s="13" t="str">
        <x:f>IF(COUNT(H16:I16)=2,SUM(H16:I16),"")</x:f>
      </x:c>
      <x:c r="Q16" s="13" t="str">
        <x:f>IF(AND(ISNUMBER(O16),COUNT(L16:N16)=3),O16+L16-M16-N16,"")</x:f>
      </x:c>
      <x:c r="R16" s="13" t="str">
        <x:f>IF(AND(A16&lt;&gt;"",B16&lt;&gt;"",ISNUMBER(P16),ISNUMBER(Q16)),P16-Q16,"")</x:f>
      </x:c>
      <x:c r="S16" s="13" t="str">
        <x:f>IF(COUNT(H16,J16)=2,J16-H16,"")</x:f>
      </x:c>
      <x:c r="T16" s="13" t="str">
        <x:f>IF(COUNT(I16,K16)=2,K16-I16,"")</x:f>
      </x:c>
      <x:c r="U16" s="10" t="str">
        <x:f>IF(NOT(OR(A16&lt;&gt;"",B16&lt;&gt;"",COUNT(D16:N16)&gt;0)),"",IF(OR(A16="",B16="",COUNT(D16:E16,H16:I16,L16:N16)&lt;&gt;7),"ناقص",IF(OR(MIN(D16:E16,H16:I16,L16:N16)&lt;0,Q16&lt;0),"ورودی نامعتبر",IF(R16&lt;0,"کسری",IF(R16&gt;0,"اضافه","بدون مغایرت")))))</x:f>
      </x:c>
      <x:c r="V16" s="10" t="str">
        <x:f>IF(OR(A16="",B16=""),"",IF(COUNTIFS($A$8:$A$507,A16,$B$8:$B$507,B16)&gt;1,"ثبت تکراری",""))</x:f>
      </x:c>
      <x:c r="W16" s="9"/>
    </x:row>
    <x:row r="17" ht="25" customHeight="1">
      <x:c r="A17" s="11"/>
      <x:c r="B17" s="11"/>
      <x:c r="C17" s="11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3" t="str">
        <x:f>IF(COUNT(D17:E17)=2,SUM(D17:E17),"")</x:f>
      </x:c>
      <x:c r="P17" s="13" t="str">
        <x:f>IF(COUNT(H17:I17)=2,SUM(H17:I17),"")</x:f>
      </x:c>
      <x:c r="Q17" s="13" t="str">
        <x:f>IF(AND(ISNUMBER(O17),COUNT(L17:N17)=3),O17+L17-M17-N17,"")</x:f>
      </x:c>
      <x:c r="R17" s="13" t="str">
        <x:f>IF(AND(A17&lt;&gt;"",B17&lt;&gt;"",ISNUMBER(P17),ISNUMBER(Q17)),P17-Q17,"")</x:f>
      </x:c>
      <x:c r="S17" s="13" t="str">
        <x:f>IF(COUNT(H17,J17)=2,J17-H17,"")</x:f>
      </x:c>
      <x:c r="T17" s="13" t="str">
        <x:f>IF(COUNT(I17,K17)=2,K17-I17,"")</x:f>
      </x:c>
      <x:c r="U17" s="10" t="str">
        <x:f>IF(NOT(OR(A17&lt;&gt;"",B17&lt;&gt;"",COUNT(D17:N17)&gt;0)),"",IF(OR(A17="",B17="",COUNT(D17:E17,H17:I17,L17:N17)&lt;&gt;7),"ناقص",IF(OR(MIN(D17:E17,H17:I17,L17:N17)&lt;0,Q17&lt;0),"ورودی نامعتبر",IF(R17&lt;0,"کسری",IF(R17&gt;0,"اضافه","بدون مغایرت")))))</x:f>
      </x:c>
      <x:c r="V17" s="10" t="str">
        <x:f>IF(OR(A17="",B17=""),"",IF(COUNTIFS($A$8:$A$507,A17,$B$8:$B$507,B17)&gt;1,"ثبت تکراری",""))</x:f>
      </x:c>
      <x:c r="W17" s="9"/>
    </x:row>
    <x:row r="18" ht="25" customHeight="1">
      <x:c r="A18" s="11"/>
      <x:c r="B18" s="11"/>
      <x:c r="C18" s="11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3" t="str">
        <x:f>IF(COUNT(D18:E18)=2,SUM(D18:E18),"")</x:f>
      </x:c>
      <x:c r="P18" s="13" t="str">
        <x:f>IF(COUNT(H18:I18)=2,SUM(H18:I18),"")</x:f>
      </x:c>
      <x:c r="Q18" s="13" t="str">
        <x:f>IF(AND(ISNUMBER(O18),COUNT(L18:N18)=3),O18+L18-M18-N18,"")</x:f>
      </x:c>
      <x:c r="R18" s="13" t="str">
        <x:f>IF(AND(A18&lt;&gt;"",B18&lt;&gt;"",ISNUMBER(P18),ISNUMBER(Q18)),P18-Q18,"")</x:f>
      </x:c>
      <x:c r="S18" s="13" t="str">
        <x:f>IF(COUNT(H18,J18)=2,J18-H18,"")</x:f>
      </x:c>
      <x:c r="T18" s="13" t="str">
        <x:f>IF(COUNT(I18,K18)=2,K18-I18,"")</x:f>
      </x:c>
      <x:c r="U18" s="10" t="str">
        <x:f>IF(NOT(OR(A18&lt;&gt;"",B18&lt;&gt;"",COUNT(D18:N18)&gt;0)),"",IF(OR(A18="",B18="",COUNT(D18:E18,H18:I18,L18:N18)&lt;&gt;7),"ناقص",IF(OR(MIN(D18:E18,H18:I18,L18:N18)&lt;0,Q18&lt;0),"ورودی نامعتبر",IF(R18&lt;0,"کسری",IF(R18&gt;0,"اضافه","بدون مغایرت")))))</x:f>
      </x:c>
      <x:c r="V18" s="10" t="str">
        <x:f>IF(OR(A18="",B18=""),"",IF(COUNTIFS($A$8:$A$507,A18,$B$8:$B$507,B18)&gt;1,"ثبت تکراری",""))</x:f>
      </x:c>
      <x:c r="W18" s="9"/>
    </x:row>
    <x:row r="19" ht="25" customHeight="1">
      <x:c r="A19" s="11"/>
      <x:c r="B19" s="11"/>
      <x:c r="C19" s="11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3" t="str">
        <x:f>IF(COUNT(D19:E19)=2,SUM(D19:E19),"")</x:f>
      </x:c>
      <x:c r="P19" s="13" t="str">
        <x:f>IF(COUNT(H19:I19)=2,SUM(H19:I19),"")</x:f>
      </x:c>
      <x:c r="Q19" s="13" t="str">
        <x:f>IF(AND(ISNUMBER(O19),COUNT(L19:N19)=3),O19+L19-M19-N19,"")</x:f>
      </x:c>
      <x:c r="R19" s="13" t="str">
        <x:f>IF(AND(A19&lt;&gt;"",B19&lt;&gt;"",ISNUMBER(P19),ISNUMBER(Q19)),P19-Q19,"")</x:f>
      </x:c>
      <x:c r="S19" s="13" t="str">
        <x:f>IF(COUNT(H19,J19)=2,J19-H19,"")</x:f>
      </x:c>
      <x:c r="T19" s="13" t="str">
        <x:f>IF(COUNT(I19,K19)=2,K19-I19,"")</x:f>
      </x:c>
      <x:c r="U19" s="10" t="str">
        <x:f>IF(NOT(OR(A19&lt;&gt;"",B19&lt;&gt;"",COUNT(D19:N19)&gt;0)),"",IF(OR(A19="",B19="",COUNT(D19:E19,H19:I19,L19:N19)&lt;&gt;7),"ناقص",IF(OR(MIN(D19:E19,H19:I19,L19:N19)&lt;0,Q19&lt;0),"ورودی نامعتبر",IF(R19&lt;0,"کسری",IF(R19&gt;0,"اضافه","بدون مغایرت")))))</x:f>
      </x:c>
      <x:c r="V19" s="10" t="str">
        <x:f>IF(OR(A19="",B19=""),"",IF(COUNTIFS($A$8:$A$507,A19,$B$8:$B$507,B19)&gt;1,"ثبت تکراری",""))</x:f>
      </x:c>
      <x:c r="W19" s="9"/>
    </x:row>
    <x:row r="20" ht="25" customHeight="1">
      <x:c r="A20" s="11"/>
      <x:c r="B20" s="11"/>
      <x:c r="C20" s="11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3" t="str">
        <x:f>IF(COUNT(D20:E20)=2,SUM(D20:E20),"")</x:f>
      </x:c>
      <x:c r="P20" s="13" t="str">
        <x:f>IF(COUNT(H20:I20)=2,SUM(H20:I20),"")</x:f>
      </x:c>
      <x:c r="Q20" s="13" t="str">
        <x:f>IF(AND(ISNUMBER(O20),COUNT(L20:N20)=3),O20+L20-M20-N20,"")</x:f>
      </x:c>
      <x:c r="R20" s="13" t="str">
        <x:f>IF(AND(A20&lt;&gt;"",B20&lt;&gt;"",ISNUMBER(P20),ISNUMBER(Q20)),P20-Q20,"")</x:f>
      </x:c>
      <x:c r="S20" s="13" t="str">
        <x:f>IF(COUNT(H20,J20)=2,J20-H20,"")</x:f>
      </x:c>
      <x:c r="T20" s="13" t="str">
        <x:f>IF(COUNT(I20,K20)=2,K20-I20,"")</x:f>
      </x:c>
      <x:c r="U20" s="10" t="str">
        <x:f>IF(NOT(OR(A20&lt;&gt;"",B20&lt;&gt;"",COUNT(D20:N20)&gt;0)),"",IF(OR(A20="",B20="",COUNT(D20:E20,H20:I20,L20:N20)&lt;&gt;7),"ناقص",IF(OR(MIN(D20:E20,H20:I20,L20:N20)&lt;0,Q20&lt;0),"ورودی نامعتبر",IF(R20&lt;0,"کسری",IF(R20&gt;0,"اضافه","بدون مغایرت")))))</x:f>
      </x:c>
      <x:c r="V20" s="10" t="str">
        <x:f>IF(OR(A20="",B20=""),"",IF(COUNTIFS($A$8:$A$507,A20,$B$8:$B$507,B20)&gt;1,"ثبت تکراری",""))</x:f>
      </x:c>
      <x:c r="W20" s="9"/>
    </x:row>
    <x:row r="21" ht="25" customHeight="1">
      <x:c r="A21" s="11"/>
      <x:c r="B21" s="11"/>
      <x:c r="C21" s="11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3" t="str">
        <x:f>IF(COUNT(D21:E21)=2,SUM(D21:E21),"")</x:f>
      </x:c>
      <x:c r="P21" s="13" t="str">
        <x:f>IF(COUNT(H21:I21)=2,SUM(H21:I21),"")</x:f>
      </x:c>
      <x:c r="Q21" s="13" t="str">
        <x:f>IF(AND(ISNUMBER(O21),COUNT(L21:N21)=3),O21+L21-M21-N21,"")</x:f>
      </x:c>
      <x:c r="R21" s="13" t="str">
        <x:f>IF(AND(A21&lt;&gt;"",B21&lt;&gt;"",ISNUMBER(P21),ISNUMBER(Q21)),P21-Q21,"")</x:f>
      </x:c>
      <x:c r="S21" s="13" t="str">
        <x:f>IF(COUNT(H21,J21)=2,J21-H21,"")</x:f>
      </x:c>
      <x:c r="T21" s="13" t="str">
        <x:f>IF(COUNT(I21,K21)=2,K21-I21,"")</x:f>
      </x:c>
      <x:c r="U21" s="10" t="str">
        <x:f>IF(NOT(OR(A21&lt;&gt;"",B21&lt;&gt;"",COUNT(D21:N21)&gt;0)),"",IF(OR(A21="",B21="",COUNT(D21:E21,H21:I21,L21:N21)&lt;&gt;7),"ناقص",IF(OR(MIN(D21:E21,H21:I21,L21:N21)&lt;0,Q21&lt;0),"ورودی نامعتبر",IF(R21&lt;0,"کسری",IF(R21&gt;0,"اضافه","بدون مغایرت")))))</x:f>
      </x:c>
      <x:c r="V21" s="10" t="str">
        <x:f>IF(OR(A21="",B21=""),"",IF(COUNTIFS($A$8:$A$507,A21,$B$8:$B$507,B21)&gt;1,"ثبت تکراری",""))</x:f>
      </x:c>
      <x:c r="W21" s="9"/>
    </x:row>
    <x:row r="22" ht="25" customHeight="1">
      <x:c r="A22" s="11"/>
      <x:c r="B22" s="11"/>
      <x:c r="C22" s="11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3" t="str">
        <x:f>IF(COUNT(D22:E22)=2,SUM(D22:E22),"")</x:f>
      </x:c>
      <x:c r="P22" s="13" t="str">
        <x:f>IF(COUNT(H22:I22)=2,SUM(H22:I22),"")</x:f>
      </x:c>
      <x:c r="Q22" s="13" t="str">
        <x:f>IF(AND(ISNUMBER(O22),COUNT(L22:N22)=3),O22+L22-M22-N22,"")</x:f>
      </x:c>
      <x:c r="R22" s="13" t="str">
        <x:f>IF(AND(A22&lt;&gt;"",B22&lt;&gt;"",ISNUMBER(P22),ISNUMBER(Q22)),P22-Q22,"")</x:f>
      </x:c>
      <x:c r="S22" s="13" t="str">
        <x:f>IF(COUNT(H22,J22)=2,J22-H22,"")</x:f>
      </x:c>
      <x:c r="T22" s="13" t="str">
        <x:f>IF(COUNT(I22,K22)=2,K22-I22,"")</x:f>
      </x:c>
      <x:c r="U22" s="10" t="str">
        <x:f>IF(NOT(OR(A22&lt;&gt;"",B22&lt;&gt;"",COUNT(D22:N22)&gt;0)),"",IF(OR(A22="",B22="",COUNT(D22:E22,H22:I22,L22:N22)&lt;&gt;7),"ناقص",IF(OR(MIN(D22:E22,H22:I22,L22:N22)&lt;0,Q22&lt;0),"ورودی نامعتبر",IF(R22&lt;0,"کسری",IF(R22&gt;0,"اضافه","بدون مغایرت")))))</x:f>
      </x:c>
      <x:c r="V22" s="10" t="str">
        <x:f>IF(OR(A22="",B22=""),"",IF(COUNTIFS($A$8:$A$507,A22,$B$8:$B$507,B22)&gt;1,"ثبت تکراری",""))</x:f>
      </x:c>
      <x:c r="W22" s="9"/>
    </x:row>
    <x:row r="23" ht="25" customHeight="1">
      <x:c r="A23" s="11"/>
      <x:c r="B23" s="11"/>
      <x:c r="C23" s="11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3" t="str">
        <x:f>IF(COUNT(D23:E23)=2,SUM(D23:E23),"")</x:f>
      </x:c>
      <x:c r="P23" s="13" t="str">
        <x:f>IF(COUNT(H23:I23)=2,SUM(H23:I23),"")</x:f>
      </x:c>
      <x:c r="Q23" s="13" t="str">
        <x:f>IF(AND(ISNUMBER(O23),COUNT(L23:N23)=3),O23+L23-M23-N23,"")</x:f>
      </x:c>
      <x:c r="R23" s="13" t="str">
        <x:f>IF(AND(A23&lt;&gt;"",B23&lt;&gt;"",ISNUMBER(P23),ISNUMBER(Q23)),P23-Q23,"")</x:f>
      </x:c>
      <x:c r="S23" s="13" t="str">
        <x:f>IF(COUNT(H23,J23)=2,J23-H23,"")</x:f>
      </x:c>
      <x:c r="T23" s="13" t="str">
        <x:f>IF(COUNT(I23,K23)=2,K23-I23,"")</x:f>
      </x:c>
      <x:c r="U23" s="10" t="str">
        <x:f>IF(NOT(OR(A23&lt;&gt;"",B23&lt;&gt;"",COUNT(D23:N23)&gt;0)),"",IF(OR(A23="",B23="",COUNT(D23:E23,H23:I23,L23:N23)&lt;&gt;7),"ناقص",IF(OR(MIN(D23:E23,H23:I23,L23:N23)&lt;0,Q23&lt;0),"ورودی نامعتبر",IF(R23&lt;0,"کسری",IF(R23&gt;0,"اضافه","بدون مغایرت")))))</x:f>
      </x:c>
      <x:c r="V23" s="10" t="str">
        <x:f>IF(OR(A23="",B23=""),"",IF(COUNTIFS($A$8:$A$507,A23,$B$8:$B$507,B23)&gt;1,"ثبت تکراری",""))</x:f>
      </x:c>
      <x:c r="W23" s="9"/>
    </x:row>
    <x:row r="24" ht="25" customHeight="1">
      <x:c r="A24" s="11"/>
      <x:c r="B24" s="11"/>
      <x:c r="C24" s="11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3" t="str">
        <x:f>IF(COUNT(D24:E24)=2,SUM(D24:E24),"")</x:f>
      </x:c>
      <x:c r="P24" s="13" t="str">
        <x:f>IF(COUNT(H24:I24)=2,SUM(H24:I24),"")</x:f>
      </x:c>
      <x:c r="Q24" s="13" t="str">
        <x:f>IF(AND(ISNUMBER(O24),COUNT(L24:N24)=3),O24+L24-M24-N24,"")</x:f>
      </x:c>
      <x:c r="R24" s="13" t="str">
        <x:f>IF(AND(A24&lt;&gt;"",B24&lt;&gt;"",ISNUMBER(P24),ISNUMBER(Q24)),P24-Q24,"")</x:f>
      </x:c>
      <x:c r="S24" s="13" t="str">
        <x:f>IF(COUNT(H24,J24)=2,J24-H24,"")</x:f>
      </x:c>
      <x:c r="T24" s="13" t="str">
        <x:f>IF(COUNT(I24,K24)=2,K24-I24,"")</x:f>
      </x:c>
      <x:c r="U24" s="10" t="str">
        <x:f>IF(NOT(OR(A24&lt;&gt;"",B24&lt;&gt;"",COUNT(D24:N24)&gt;0)),"",IF(OR(A24="",B24="",COUNT(D24:E24,H24:I24,L24:N24)&lt;&gt;7),"ناقص",IF(OR(MIN(D24:E24,H24:I24,L24:N24)&lt;0,Q24&lt;0),"ورودی نامعتبر",IF(R24&lt;0,"کسری",IF(R24&gt;0,"اضافه","بدون مغایرت")))))</x:f>
      </x:c>
      <x:c r="V24" s="10" t="str">
        <x:f>IF(OR(A24="",B24=""),"",IF(COUNTIFS($A$8:$A$507,A24,$B$8:$B$507,B24)&gt;1,"ثبت تکراری",""))</x:f>
      </x:c>
      <x:c r="W24" s="9"/>
    </x:row>
    <x:row r="25" ht="25" customHeight="1">
      <x:c r="A25" s="11"/>
      <x:c r="B25" s="11"/>
      <x:c r="C25" s="11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3" t="str">
        <x:f>IF(COUNT(D25:E25)=2,SUM(D25:E25),"")</x:f>
      </x:c>
      <x:c r="P25" s="13" t="str">
        <x:f>IF(COUNT(H25:I25)=2,SUM(H25:I25),"")</x:f>
      </x:c>
      <x:c r="Q25" s="13" t="str">
        <x:f>IF(AND(ISNUMBER(O25),COUNT(L25:N25)=3),O25+L25-M25-N25,"")</x:f>
      </x:c>
      <x:c r="R25" s="13" t="str">
        <x:f>IF(AND(A25&lt;&gt;"",B25&lt;&gt;"",ISNUMBER(P25),ISNUMBER(Q25)),P25-Q25,"")</x:f>
      </x:c>
      <x:c r="S25" s="13" t="str">
        <x:f>IF(COUNT(H25,J25)=2,J25-H25,"")</x:f>
      </x:c>
      <x:c r="T25" s="13" t="str">
        <x:f>IF(COUNT(I25,K25)=2,K25-I25,"")</x:f>
      </x:c>
      <x:c r="U25" s="10" t="str">
        <x:f>IF(NOT(OR(A25&lt;&gt;"",B25&lt;&gt;"",COUNT(D25:N25)&gt;0)),"",IF(OR(A25="",B25="",COUNT(D25:E25,H25:I25,L25:N25)&lt;&gt;7),"ناقص",IF(OR(MIN(D25:E25,H25:I25,L25:N25)&lt;0,Q25&lt;0),"ورودی نامعتبر",IF(R25&lt;0,"کسری",IF(R25&gt;0,"اضافه","بدون مغایرت")))))</x:f>
      </x:c>
      <x:c r="V25" s="10" t="str">
        <x:f>IF(OR(A25="",B25=""),"",IF(COUNTIFS($A$8:$A$507,A25,$B$8:$B$507,B25)&gt;1,"ثبت تکراری",""))</x:f>
      </x:c>
      <x:c r="W25" s="9"/>
    </x:row>
    <x:row r="26" ht="25" customHeight="1">
      <x:c r="A26" s="11"/>
      <x:c r="B26" s="11"/>
      <x:c r="C26" s="11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3" t="str">
        <x:f>IF(COUNT(D26:E26)=2,SUM(D26:E26),"")</x:f>
      </x:c>
      <x:c r="P26" s="13" t="str">
        <x:f>IF(COUNT(H26:I26)=2,SUM(H26:I26),"")</x:f>
      </x:c>
      <x:c r="Q26" s="13" t="str">
        <x:f>IF(AND(ISNUMBER(O26),COUNT(L26:N26)=3),O26+L26-M26-N26,"")</x:f>
      </x:c>
      <x:c r="R26" s="13" t="str">
        <x:f>IF(AND(A26&lt;&gt;"",B26&lt;&gt;"",ISNUMBER(P26),ISNUMBER(Q26)),P26-Q26,"")</x:f>
      </x:c>
      <x:c r="S26" s="13" t="str">
        <x:f>IF(COUNT(H26,J26)=2,J26-H26,"")</x:f>
      </x:c>
      <x:c r="T26" s="13" t="str">
        <x:f>IF(COUNT(I26,K26)=2,K26-I26,"")</x:f>
      </x:c>
      <x:c r="U26" s="10" t="str">
        <x:f>IF(NOT(OR(A26&lt;&gt;"",B26&lt;&gt;"",COUNT(D26:N26)&gt;0)),"",IF(OR(A26="",B26="",COUNT(D26:E26,H26:I26,L26:N26)&lt;&gt;7),"ناقص",IF(OR(MIN(D26:E26,H26:I26,L26:N26)&lt;0,Q26&lt;0),"ورودی نامعتبر",IF(R26&lt;0,"کسری",IF(R26&gt;0,"اضافه","بدون مغایرت")))))</x:f>
      </x:c>
      <x:c r="V26" s="10" t="str">
        <x:f>IF(OR(A26="",B26=""),"",IF(COUNTIFS($A$8:$A$507,A26,$B$8:$B$507,B26)&gt;1,"ثبت تکراری",""))</x:f>
      </x:c>
      <x:c r="W26" s="9"/>
    </x:row>
    <x:row r="27" ht="25" customHeight="1">
      <x:c r="A27" s="11"/>
      <x:c r="B27" s="11"/>
      <x:c r="C27" s="11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3" t="str">
        <x:f>IF(COUNT(D27:E27)=2,SUM(D27:E27),"")</x:f>
      </x:c>
      <x:c r="P27" s="13" t="str">
        <x:f>IF(COUNT(H27:I27)=2,SUM(H27:I27),"")</x:f>
      </x:c>
      <x:c r="Q27" s="13" t="str">
        <x:f>IF(AND(ISNUMBER(O27),COUNT(L27:N27)=3),O27+L27-M27-N27,"")</x:f>
      </x:c>
      <x:c r="R27" s="13" t="str">
        <x:f>IF(AND(A27&lt;&gt;"",B27&lt;&gt;"",ISNUMBER(P27),ISNUMBER(Q27)),P27-Q27,"")</x:f>
      </x:c>
      <x:c r="S27" s="13" t="str">
        <x:f>IF(COUNT(H27,J27)=2,J27-H27,"")</x:f>
      </x:c>
      <x:c r="T27" s="13" t="str">
        <x:f>IF(COUNT(I27,K27)=2,K27-I27,"")</x:f>
      </x:c>
      <x:c r="U27" s="10" t="str">
        <x:f>IF(NOT(OR(A27&lt;&gt;"",B27&lt;&gt;"",COUNT(D27:N27)&gt;0)),"",IF(OR(A27="",B27="",COUNT(D27:E27,H27:I27,L27:N27)&lt;&gt;7),"ناقص",IF(OR(MIN(D27:E27,H27:I27,L27:N27)&lt;0,Q27&lt;0),"ورودی نامعتبر",IF(R27&lt;0,"کسری",IF(R27&gt;0,"اضافه","بدون مغایرت")))))</x:f>
      </x:c>
      <x:c r="V27" s="10" t="str">
        <x:f>IF(OR(A27="",B27=""),"",IF(COUNTIFS($A$8:$A$507,A27,$B$8:$B$507,B27)&gt;1,"ثبت تکراری",""))</x:f>
      </x:c>
      <x:c r="W27" s="9"/>
    </x:row>
    <x:row r="28" ht="25" customHeight="1">
      <x:c r="A28" s="11"/>
      <x:c r="B28" s="11"/>
      <x:c r="C28" s="11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3" t="str">
        <x:f>IF(COUNT(D28:E28)=2,SUM(D28:E28),"")</x:f>
      </x:c>
      <x:c r="P28" s="13" t="str">
        <x:f>IF(COUNT(H28:I28)=2,SUM(H28:I28),"")</x:f>
      </x:c>
      <x:c r="Q28" s="13" t="str">
        <x:f>IF(AND(ISNUMBER(O28),COUNT(L28:N28)=3),O28+L28-M28-N28,"")</x:f>
      </x:c>
      <x:c r="R28" s="13" t="str">
        <x:f>IF(AND(A28&lt;&gt;"",B28&lt;&gt;"",ISNUMBER(P28),ISNUMBER(Q28)),P28-Q28,"")</x:f>
      </x:c>
      <x:c r="S28" s="13" t="str">
        <x:f>IF(COUNT(H28,J28)=2,J28-H28,"")</x:f>
      </x:c>
      <x:c r="T28" s="13" t="str">
        <x:f>IF(COUNT(I28,K28)=2,K28-I28,"")</x:f>
      </x:c>
      <x:c r="U28" s="10" t="str">
        <x:f>IF(NOT(OR(A28&lt;&gt;"",B28&lt;&gt;"",COUNT(D28:N28)&gt;0)),"",IF(OR(A28="",B28="",COUNT(D28:E28,H28:I28,L28:N28)&lt;&gt;7),"ناقص",IF(OR(MIN(D28:E28,H28:I28,L28:N28)&lt;0,Q28&lt;0),"ورودی نامعتبر",IF(R28&lt;0,"کسری",IF(R28&gt;0,"اضافه","بدون مغایرت")))))</x:f>
      </x:c>
      <x:c r="V28" s="10" t="str">
        <x:f>IF(OR(A28="",B28=""),"",IF(COUNTIFS($A$8:$A$507,A28,$B$8:$B$507,B28)&gt;1,"ثبت تکراری",""))</x:f>
      </x:c>
      <x:c r="W28" s="9"/>
    </x:row>
    <x:row r="29" ht="25" customHeight="1">
      <x:c r="A29" s="11"/>
      <x:c r="B29" s="11"/>
      <x:c r="C29" s="11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3" t="str">
        <x:f>IF(COUNT(D29:E29)=2,SUM(D29:E29),"")</x:f>
      </x:c>
      <x:c r="P29" s="13" t="str">
        <x:f>IF(COUNT(H29:I29)=2,SUM(H29:I29),"")</x:f>
      </x:c>
      <x:c r="Q29" s="13" t="str">
        <x:f>IF(AND(ISNUMBER(O29),COUNT(L29:N29)=3),O29+L29-M29-N29,"")</x:f>
      </x:c>
      <x:c r="R29" s="13" t="str">
        <x:f>IF(AND(A29&lt;&gt;"",B29&lt;&gt;"",ISNUMBER(P29),ISNUMBER(Q29)),P29-Q29,"")</x:f>
      </x:c>
      <x:c r="S29" s="13" t="str">
        <x:f>IF(COUNT(H29,J29)=2,J29-H29,"")</x:f>
      </x:c>
      <x:c r="T29" s="13" t="str">
        <x:f>IF(COUNT(I29,K29)=2,K29-I29,"")</x:f>
      </x:c>
      <x:c r="U29" s="10" t="str">
        <x:f>IF(NOT(OR(A29&lt;&gt;"",B29&lt;&gt;"",COUNT(D29:N29)&gt;0)),"",IF(OR(A29="",B29="",COUNT(D29:E29,H29:I29,L29:N29)&lt;&gt;7),"ناقص",IF(OR(MIN(D29:E29,H29:I29,L29:N29)&lt;0,Q29&lt;0),"ورودی نامعتبر",IF(R29&lt;0,"کسری",IF(R29&gt;0,"اضافه","بدون مغایرت")))))</x:f>
      </x:c>
      <x:c r="V29" s="10" t="str">
        <x:f>IF(OR(A29="",B29=""),"",IF(COUNTIFS($A$8:$A$507,A29,$B$8:$B$507,B29)&gt;1,"ثبت تکراری",""))</x:f>
      </x:c>
      <x:c r="W29" s="9"/>
    </x:row>
    <x:row r="30" ht="25" customHeight="1">
      <x:c r="A30" s="11"/>
      <x:c r="B30" s="11"/>
      <x:c r="C30" s="11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3" t="str">
        <x:f>IF(COUNT(D30:E30)=2,SUM(D30:E30),"")</x:f>
      </x:c>
      <x:c r="P30" s="13" t="str">
        <x:f>IF(COUNT(H30:I30)=2,SUM(H30:I30),"")</x:f>
      </x:c>
      <x:c r="Q30" s="13" t="str">
        <x:f>IF(AND(ISNUMBER(O30),COUNT(L30:N30)=3),O30+L30-M30-N30,"")</x:f>
      </x:c>
      <x:c r="R30" s="13" t="str">
        <x:f>IF(AND(A30&lt;&gt;"",B30&lt;&gt;"",ISNUMBER(P30),ISNUMBER(Q30)),P30-Q30,"")</x:f>
      </x:c>
      <x:c r="S30" s="13" t="str">
        <x:f>IF(COUNT(H30,J30)=2,J30-H30,"")</x:f>
      </x:c>
      <x:c r="T30" s="13" t="str">
        <x:f>IF(COUNT(I30,K30)=2,K30-I30,"")</x:f>
      </x:c>
      <x:c r="U30" s="10" t="str">
        <x:f>IF(NOT(OR(A30&lt;&gt;"",B30&lt;&gt;"",COUNT(D30:N30)&gt;0)),"",IF(OR(A30="",B30="",COUNT(D30:E30,H30:I30,L30:N30)&lt;&gt;7),"ناقص",IF(OR(MIN(D30:E30,H30:I30,L30:N30)&lt;0,Q30&lt;0),"ورودی نامعتبر",IF(R30&lt;0,"کسری",IF(R30&gt;0,"اضافه","بدون مغایرت")))))</x:f>
      </x:c>
      <x:c r="V30" s="10" t="str">
        <x:f>IF(OR(A30="",B30=""),"",IF(COUNTIFS($A$8:$A$507,A30,$B$8:$B$507,B30)&gt;1,"ثبت تکراری",""))</x:f>
      </x:c>
      <x:c r="W30" s="9"/>
    </x:row>
    <x:row r="31" ht="25" customHeight="1">
      <x:c r="A31" s="11"/>
      <x:c r="B31" s="11"/>
      <x:c r="C31" s="11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3" t="str">
        <x:f>IF(COUNT(D31:E31)=2,SUM(D31:E31),"")</x:f>
      </x:c>
      <x:c r="P31" s="13" t="str">
        <x:f>IF(COUNT(H31:I31)=2,SUM(H31:I31),"")</x:f>
      </x:c>
      <x:c r="Q31" s="13" t="str">
        <x:f>IF(AND(ISNUMBER(O31),COUNT(L31:N31)=3),O31+L31-M31-N31,"")</x:f>
      </x:c>
      <x:c r="R31" s="13" t="str">
        <x:f>IF(AND(A31&lt;&gt;"",B31&lt;&gt;"",ISNUMBER(P31),ISNUMBER(Q31)),P31-Q31,"")</x:f>
      </x:c>
      <x:c r="S31" s="13" t="str">
        <x:f>IF(COUNT(H31,J31)=2,J31-H31,"")</x:f>
      </x:c>
      <x:c r="T31" s="13" t="str">
        <x:f>IF(COUNT(I31,K31)=2,K31-I31,"")</x:f>
      </x:c>
      <x:c r="U31" s="10" t="str">
        <x:f>IF(NOT(OR(A31&lt;&gt;"",B31&lt;&gt;"",COUNT(D31:N31)&gt;0)),"",IF(OR(A31="",B31="",COUNT(D31:E31,H31:I31,L31:N31)&lt;&gt;7),"ناقص",IF(OR(MIN(D31:E31,H31:I31,L31:N31)&lt;0,Q31&lt;0),"ورودی نامعتبر",IF(R31&lt;0,"کسری",IF(R31&gt;0,"اضافه","بدون مغایرت")))))</x:f>
      </x:c>
      <x:c r="V31" s="10" t="str">
        <x:f>IF(OR(A31="",B31=""),"",IF(COUNTIFS($A$8:$A$507,A31,$B$8:$B$507,B31)&gt;1,"ثبت تکراری",""))</x:f>
      </x:c>
      <x:c r="W31" s="9"/>
    </x:row>
    <x:row r="32" ht="25" customHeight="1">
      <x:c r="A32" s="11"/>
      <x:c r="B32" s="11"/>
      <x:c r="C32" s="11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3" t="str">
        <x:f>IF(COUNT(D32:E32)=2,SUM(D32:E32),"")</x:f>
      </x:c>
      <x:c r="P32" s="13" t="str">
        <x:f>IF(COUNT(H32:I32)=2,SUM(H32:I32),"")</x:f>
      </x:c>
      <x:c r="Q32" s="13" t="str">
        <x:f>IF(AND(ISNUMBER(O32),COUNT(L32:N32)=3),O32+L32-M32-N32,"")</x:f>
      </x:c>
      <x:c r="R32" s="13" t="str">
        <x:f>IF(AND(A32&lt;&gt;"",B32&lt;&gt;"",ISNUMBER(P32),ISNUMBER(Q32)),P32-Q32,"")</x:f>
      </x:c>
      <x:c r="S32" s="13" t="str">
        <x:f>IF(COUNT(H32,J32)=2,J32-H32,"")</x:f>
      </x:c>
      <x:c r="T32" s="13" t="str">
        <x:f>IF(COUNT(I32,K32)=2,K32-I32,"")</x:f>
      </x:c>
      <x:c r="U32" s="10" t="str">
        <x:f>IF(NOT(OR(A32&lt;&gt;"",B32&lt;&gt;"",COUNT(D32:N32)&gt;0)),"",IF(OR(A32="",B32="",COUNT(D32:E32,H32:I32,L32:N32)&lt;&gt;7),"ناقص",IF(OR(MIN(D32:E32,H32:I32,L32:N32)&lt;0,Q32&lt;0),"ورودی نامعتبر",IF(R32&lt;0,"کسری",IF(R32&gt;0,"اضافه","بدون مغایرت")))))</x:f>
      </x:c>
      <x:c r="V32" s="10" t="str">
        <x:f>IF(OR(A32="",B32=""),"",IF(COUNTIFS($A$8:$A$507,A32,$B$8:$B$507,B32)&gt;1,"ثبت تکراری",""))</x:f>
      </x:c>
      <x:c r="W32" s="9"/>
    </x:row>
    <x:row r="33" ht="25" customHeight="1">
      <x:c r="A33" s="11"/>
      <x:c r="B33" s="11"/>
      <x:c r="C33" s="11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3" t="str">
        <x:f>IF(COUNT(D33:E33)=2,SUM(D33:E33),"")</x:f>
      </x:c>
      <x:c r="P33" s="13" t="str">
        <x:f>IF(COUNT(H33:I33)=2,SUM(H33:I33),"")</x:f>
      </x:c>
      <x:c r="Q33" s="13" t="str">
        <x:f>IF(AND(ISNUMBER(O33),COUNT(L33:N33)=3),O33+L33-M33-N33,"")</x:f>
      </x:c>
      <x:c r="R33" s="13" t="str">
        <x:f>IF(AND(A33&lt;&gt;"",B33&lt;&gt;"",ISNUMBER(P33),ISNUMBER(Q33)),P33-Q33,"")</x:f>
      </x:c>
      <x:c r="S33" s="13" t="str">
        <x:f>IF(COUNT(H33,J33)=2,J33-H33,"")</x:f>
      </x:c>
      <x:c r="T33" s="13" t="str">
        <x:f>IF(COUNT(I33,K33)=2,K33-I33,"")</x:f>
      </x:c>
      <x:c r="U33" s="10" t="str">
        <x:f>IF(NOT(OR(A33&lt;&gt;"",B33&lt;&gt;"",COUNT(D33:N33)&gt;0)),"",IF(OR(A33="",B33="",COUNT(D33:E33,H33:I33,L33:N33)&lt;&gt;7),"ناقص",IF(OR(MIN(D33:E33,H33:I33,L33:N33)&lt;0,Q33&lt;0),"ورودی نامعتبر",IF(R33&lt;0,"کسری",IF(R33&gt;0,"اضافه","بدون مغایرت")))))</x:f>
      </x:c>
      <x:c r="V33" s="10" t="str">
        <x:f>IF(OR(A33="",B33=""),"",IF(COUNTIFS($A$8:$A$507,A33,$B$8:$B$507,B33)&gt;1,"ثبت تکراری",""))</x:f>
      </x:c>
      <x:c r="W33" s="9"/>
    </x:row>
    <x:row r="34" ht="25" customHeight="1">
      <x:c r="A34" s="11"/>
      <x:c r="B34" s="11"/>
      <x:c r="C34" s="11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3" t="str">
        <x:f>IF(COUNT(D34:E34)=2,SUM(D34:E34),"")</x:f>
      </x:c>
      <x:c r="P34" s="13" t="str">
        <x:f>IF(COUNT(H34:I34)=2,SUM(H34:I34),"")</x:f>
      </x:c>
      <x:c r="Q34" s="13" t="str">
        <x:f>IF(AND(ISNUMBER(O34),COUNT(L34:N34)=3),O34+L34-M34-N34,"")</x:f>
      </x:c>
      <x:c r="R34" s="13" t="str">
        <x:f>IF(AND(A34&lt;&gt;"",B34&lt;&gt;"",ISNUMBER(P34),ISNUMBER(Q34)),P34-Q34,"")</x:f>
      </x:c>
      <x:c r="S34" s="13" t="str">
        <x:f>IF(COUNT(H34,J34)=2,J34-H34,"")</x:f>
      </x:c>
      <x:c r="T34" s="13" t="str">
        <x:f>IF(COUNT(I34,K34)=2,K34-I34,"")</x:f>
      </x:c>
      <x:c r="U34" s="10" t="str">
        <x:f>IF(NOT(OR(A34&lt;&gt;"",B34&lt;&gt;"",COUNT(D34:N34)&gt;0)),"",IF(OR(A34="",B34="",COUNT(D34:E34,H34:I34,L34:N34)&lt;&gt;7),"ناقص",IF(OR(MIN(D34:E34,H34:I34,L34:N34)&lt;0,Q34&lt;0),"ورودی نامعتبر",IF(R34&lt;0,"کسری",IF(R34&gt;0,"اضافه","بدون مغایرت")))))</x:f>
      </x:c>
      <x:c r="V34" s="10" t="str">
        <x:f>IF(OR(A34="",B34=""),"",IF(COUNTIFS($A$8:$A$507,A34,$B$8:$B$507,B34)&gt;1,"ثبت تکراری",""))</x:f>
      </x:c>
      <x:c r="W34" s="9"/>
    </x:row>
    <x:row r="35" ht="25" customHeight="1">
      <x:c r="A35" s="11"/>
      <x:c r="B35" s="11"/>
      <x:c r="C35" s="11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3" t="str">
        <x:f>IF(COUNT(D35:E35)=2,SUM(D35:E35),"")</x:f>
      </x:c>
      <x:c r="P35" s="13" t="str">
        <x:f>IF(COUNT(H35:I35)=2,SUM(H35:I35),"")</x:f>
      </x:c>
      <x:c r="Q35" s="13" t="str">
        <x:f>IF(AND(ISNUMBER(O35),COUNT(L35:N35)=3),O35+L35-M35-N35,"")</x:f>
      </x:c>
      <x:c r="R35" s="13" t="str">
        <x:f>IF(AND(A35&lt;&gt;"",B35&lt;&gt;"",ISNUMBER(P35),ISNUMBER(Q35)),P35-Q35,"")</x:f>
      </x:c>
      <x:c r="S35" s="13" t="str">
        <x:f>IF(COUNT(H35,J35)=2,J35-H35,"")</x:f>
      </x:c>
      <x:c r="T35" s="13" t="str">
        <x:f>IF(COUNT(I35,K35)=2,K35-I35,"")</x:f>
      </x:c>
      <x:c r="U35" s="10" t="str">
        <x:f>IF(NOT(OR(A35&lt;&gt;"",B35&lt;&gt;"",COUNT(D35:N35)&gt;0)),"",IF(OR(A35="",B35="",COUNT(D35:E35,H35:I35,L35:N35)&lt;&gt;7),"ناقص",IF(OR(MIN(D35:E35,H35:I35,L35:N35)&lt;0,Q35&lt;0),"ورودی نامعتبر",IF(R35&lt;0,"کسری",IF(R35&gt;0,"اضافه","بدون مغایرت")))))</x:f>
      </x:c>
      <x:c r="V35" s="10" t="str">
        <x:f>IF(OR(A35="",B35=""),"",IF(COUNTIFS($A$8:$A$507,A35,$B$8:$B$507,B35)&gt;1,"ثبت تکراری",""))</x:f>
      </x:c>
      <x:c r="W35" s="9"/>
    </x:row>
    <x:row r="36" ht="25" customHeight="1">
      <x:c r="A36" s="11"/>
      <x:c r="B36" s="11"/>
      <x:c r="C36" s="11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3" t="str">
        <x:f>IF(COUNT(D36:E36)=2,SUM(D36:E36),"")</x:f>
      </x:c>
      <x:c r="P36" s="13" t="str">
        <x:f>IF(COUNT(H36:I36)=2,SUM(H36:I36),"")</x:f>
      </x:c>
      <x:c r="Q36" s="13" t="str">
        <x:f>IF(AND(ISNUMBER(O36),COUNT(L36:N36)=3),O36+L36-M36-N36,"")</x:f>
      </x:c>
      <x:c r="R36" s="13" t="str">
        <x:f>IF(AND(A36&lt;&gt;"",B36&lt;&gt;"",ISNUMBER(P36),ISNUMBER(Q36)),P36-Q36,"")</x:f>
      </x:c>
      <x:c r="S36" s="13" t="str">
        <x:f>IF(COUNT(H36,J36)=2,J36-H36,"")</x:f>
      </x:c>
      <x:c r="T36" s="13" t="str">
        <x:f>IF(COUNT(I36,K36)=2,K36-I36,"")</x:f>
      </x:c>
      <x:c r="U36" s="10" t="str">
        <x:f>IF(NOT(OR(A36&lt;&gt;"",B36&lt;&gt;"",COUNT(D36:N36)&gt;0)),"",IF(OR(A36="",B36="",COUNT(D36:E36,H36:I36,L36:N36)&lt;&gt;7),"ناقص",IF(OR(MIN(D36:E36,H36:I36,L36:N36)&lt;0,Q36&lt;0),"ورودی نامعتبر",IF(R36&lt;0,"کسری",IF(R36&gt;0,"اضافه","بدون مغایرت")))))</x:f>
      </x:c>
      <x:c r="V36" s="10" t="str">
        <x:f>IF(OR(A36="",B36=""),"",IF(COUNTIFS($A$8:$A$507,A36,$B$8:$B$507,B36)&gt;1,"ثبت تکراری",""))</x:f>
      </x:c>
      <x:c r="W36" s="9"/>
    </x:row>
    <x:row r="37" ht="25" customHeight="1">
      <x:c r="A37" s="11"/>
      <x:c r="B37" s="11"/>
      <x:c r="C37" s="11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3" t="str">
        <x:f>IF(COUNT(D37:E37)=2,SUM(D37:E37),"")</x:f>
      </x:c>
      <x:c r="P37" s="13" t="str">
        <x:f>IF(COUNT(H37:I37)=2,SUM(H37:I37),"")</x:f>
      </x:c>
      <x:c r="Q37" s="13" t="str">
        <x:f>IF(AND(ISNUMBER(O37),COUNT(L37:N37)=3),O37+L37-M37-N37,"")</x:f>
      </x:c>
      <x:c r="R37" s="13" t="str">
        <x:f>IF(AND(A37&lt;&gt;"",B37&lt;&gt;"",ISNUMBER(P37),ISNUMBER(Q37)),P37-Q37,"")</x:f>
      </x:c>
      <x:c r="S37" s="13" t="str">
        <x:f>IF(COUNT(H37,J37)=2,J37-H37,"")</x:f>
      </x:c>
      <x:c r="T37" s="13" t="str">
        <x:f>IF(COUNT(I37,K37)=2,K37-I37,"")</x:f>
      </x:c>
      <x:c r="U37" s="10" t="str">
        <x:f>IF(NOT(OR(A37&lt;&gt;"",B37&lt;&gt;"",COUNT(D37:N37)&gt;0)),"",IF(OR(A37="",B37="",COUNT(D37:E37,H37:I37,L37:N37)&lt;&gt;7),"ناقص",IF(OR(MIN(D37:E37,H37:I37,L37:N37)&lt;0,Q37&lt;0),"ورودی نامعتبر",IF(R37&lt;0,"کسری",IF(R37&gt;0,"اضافه","بدون مغایرت")))))</x:f>
      </x:c>
      <x:c r="V37" s="10" t="str">
        <x:f>IF(OR(A37="",B37=""),"",IF(COUNTIFS($A$8:$A$507,A37,$B$8:$B$507,B37)&gt;1,"ثبت تکراری",""))</x:f>
      </x:c>
      <x:c r="W37" s="9"/>
    </x:row>
    <x:row r="38" ht="25" customHeight="1">
      <x:c r="A38" s="11"/>
      <x:c r="B38" s="11"/>
      <x:c r="C38" s="11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3" t="str">
        <x:f>IF(COUNT(D38:E38)=2,SUM(D38:E38),"")</x:f>
      </x:c>
      <x:c r="P38" s="13" t="str">
        <x:f>IF(COUNT(H38:I38)=2,SUM(H38:I38),"")</x:f>
      </x:c>
      <x:c r="Q38" s="13" t="str">
        <x:f>IF(AND(ISNUMBER(O38),COUNT(L38:N38)=3),O38+L38-M38-N38,"")</x:f>
      </x:c>
      <x:c r="R38" s="13" t="str">
        <x:f>IF(AND(A38&lt;&gt;"",B38&lt;&gt;"",ISNUMBER(P38),ISNUMBER(Q38)),P38-Q38,"")</x:f>
      </x:c>
      <x:c r="S38" s="13" t="str">
        <x:f>IF(COUNT(H38,J38)=2,J38-H38,"")</x:f>
      </x:c>
      <x:c r="T38" s="13" t="str">
        <x:f>IF(COUNT(I38,K38)=2,K38-I38,"")</x:f>
      </x:c>
      <x:c r="U38" s="10" t="str">
        <x:f>IF(NOT(OR(A38&lt;&gt;"",B38&lt;&gt;"",COUNT(D38:N38)&gt;0)),"",IF(OR(A38="",B38="",COUNT(D38:E38,H38:I38,L38:N38)&lt;&gt;7),"ناقص",IF(OR(MIN(D38:E38,H38:I38,L38:N38)&lt;0,Q38&lt;0),"ورودی نامعتبر",IF(R38&lt;0,"کسری",IF(R38&gt;0,"اضافه","بدون مغایرت")))))</x:f>
      </x:c>
      <x:c r="V38" s="10" t="str">
        <x:f>IF(OR(A38="",B38=""),"",IF(COUNTIFS($A$8:$A$507,A38,$B$8:$B$507,B38)&gt;1,"ثبت تکراری",""))</x:f>
      </x:c>
      <x:c r="W38" s="9"/>
    </x:row>
    <x:row r="39" ht="25" customHeight="1">
      <x:c r="A39" s="11"/>
      <x:c r="B39" s="11"/>
      <x:c r="C39" s="11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3" t="str">
        <x:f>IF(COUNT(D39:E39)=2,SUM(D39:E39),"")</x:f>
      </x:c>
      <x:c r="P39" s="13" t="str">
        <x:f>IF(COUNT(H39:I39)=2,SUM(H39:I39),"")</x:f>
      </x:c>
      <x:c r="Q39" s="13" t="str">
        <x:f>IF(AND(ISNUMBER(O39),COUNT(L39:N39)=3),O39+L39-M39-N39,"")</x:f>
      </x:c>
      <x:c r="R39" s="13" t="str">
        <x:f>IF(AND(A39&lt;&gt;"",B39&lt;&gt;"",ISNUMBER(P39),ISNUMBER(Q39)),P39-Q39,"")</x:f>
      </x:c>
      <x:c r="S39" s="13" t="str">
        <x:f>IF(COUNT(H39,J39)=2,J39-H39,"")</x:f>
      </x:c>
      <x:c r="T39" s="13" t="str">
        <x:f>IF(COUNT(I39,K39)=2,K39-I39,"")</x:f>
      </x:c>
      <x:c r="U39" s="10" t="str">
        <x:f>IF(NOT(OR(A39&lt;&gt;"",B39&lt;&gt;"",COUNT(D39:N39)&gt;0)),"",IF(OR(A39="",B39="",COUNT(D39:E39,H39:I39,L39:N39)&lt;&gt;7),"ناقص",IF(OR(MIN(D39:E39,H39:I39,L39:N39)&lt;0,Q39&lt;0),"ورودی نامعتبر",IF(R39&lt;0,"کسری",IF(R39&gt;0,"اضافه","بدون مغایرت")))))</x:f>
      </x:c>
      <x:c r="V39" s="10" t="str">
        <x:f>IF(OR(A39="",B39=""),"",IF(COUNTIFS($A$8:$A$507,A39,$B$8:$B$507,B39)&gt;1,"ثبت تکراری",""))</x:f>
      </x:c>
      <x:c r="W39" s="9"/>
    </x:row>
    <x:row r="40" ht="25" customHeight="1">
      <x:c r="A40" s="11"/>
      <x:c r="B40" s="11"/>
      <x:c r="C40" s="11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3" t="str">
        <x:f>IF(COUNT(D40:E40)=2,SUM(D40:E40),"")</x:f>
      </x:c>
      <x:c r="P40" s="13" t="str">
        <x:f>IF(COUNT(H40:I40)=2,SUM(H40:I40),"")</x:f>
      </x:c>
      <x:c r="Q40" s="13" t="str">
        <x:f>IF(AND(ISNUMBER(O40),COUNT(L40:N40)=3),O40+L40-M40-N40,"")</x:f>
      </x:c>
      <x:c r="R40" s="13" t="str">
        <x:f>IF(AND(A40&lt;&gt;"",B40&lt;&gt;"",ISNUMBER(P40),ISNUMBER(Q40)),P40-Q40,"")</x:f>
      </x:c>
      <x:c r="S40" s="13" t="str">
        <x:f>IF(COUNT(H40,J40)=2,J40-H40,"")</x:f>
      </x:c>
      <x:c r="T40" s="13" t="str">
        <x:f>IF(COUNT(I40,K40)=2,K40-I40,"")</x:f>
      </x:c>
      <x:c r="U40" s="10" t="str">
        <x:f>IF(NOT(OR(A40&lt;&gt;"",B40&lt;&gt;"",COUNT(D40:N40)&gt;0)),"",IF(OR(A40="",B40="",COUNT(D40:E40,H40:I40,L40:N40)&lt;&gt;7),"ناقص",IF(OR(MIN(D40:E40,H40:I40,L40:N40)&lt;0,Q40&lt;0),"ورودی نامعتبر",IF(R40&lt;0,"کسری",IF(R40&gt;0,"اضافه","بدون مغایرت")))))</x:f>
      </x:c>
      <x:c r="V40" s="10" t="str">
        <x:f>IF(OR(A40="",B40=""),"",IF(COUNTIFS($A$8:$A$507,A40,$B$8:$B$507,B40)&gt;1,"ثبت تکراری",""))</x:f>
      </x:c>
      <x:c r="W40" s="9"/>
    </x:row>
    <x:row r="41" ht="25" customHeight="1">
      <x:c r="A41" s="11"/>
      <x:c r="B41" s="11"/>
      <x:c r="C41" s="11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3" t="str">
        <x:f>IF(COUNT(D41:E41)=2,SUM(D41:E41),"")</x:f>
      </x:c>
      <x:c r="P41" s="13" t="str">
        <x:f>IF(COUNT(H41:I41)=2,SUM(H41:I41),"")</x:f>
      </x:c>
      <x:c r="Q41" s="13" t="str">
        <x:f>IF(AND(ISNUMBER(O41),COUNT(L41:N41)=3),O41+L41-M41-N41,"")</x:f>
      </x:c>
      <x:c r="R41" s="13" t="str">
        <x:f>IF(AND(A41&lt;&gt;"",B41&lt;&gt;"",ISNUMBER(P41),ISNUMBER(Q41)),P41-Q41,"")</x:f>
      </x:c>
      <x:c r="S41" s="13" t="str">
        <x:f>IF(COUNT(H41,J41)=2,J41-H41,"")</x:f>
      </x:c>
      <x:c r="T41" s="13" t="str">
        <x:f>IF(COUNT(I41,K41)=2,K41-I41,"")</x:f>
      </x:c>
      <x:c r="U41" s="10" t="str">
        <x:f>IF(NOT(OR(A41&lt;&gt;"",B41&lt;&gt;"",COUNT(D41:N41)&gt;0)),"",IF(OR(A41="",B41="",COUNT(D41:E41,H41:I41,L41:N41)&lt;&gt;7),"ناقص",IF(OR(MIN(D41:E41,H41:I41,L41:N41)&lt;0,Q41&lt;0),"ورودی نامعتبر",IF(R41&lt;0,"کسری",IF(R41&gt;0,"اضافه","بدون مغایرت")))))</x:f>
      </x:c>
      <x:c r="V41" s="10" t="str">
        <x:f>IF(OR(A41="",B41=""),"",IF(COUNTIFS($A$8:$A$507,A41,$B$8:$B$507,B41)&gt;1,"ثبت تکراری",""))</x:f>
      </x:c>
      <x:c r="W41" s="9"/>
    </x:row>
    <x:row r="42" ht="25" customHeight="1">
      <x:c r="A42" s="11"/>
      <x:c r="B42" s="11"/>
      <x:c r="C42" s="11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3" t="str">
        <x:f>IF(COUNT(D42:E42)=2,SUM(D42:E42),"")</x:f>
      </x:c>
      <x:c r="P42" s="13" t="str">
        <x:f>IF(COUNT(H42:I42)=2,SUM(H42:I42),"")</x:f>
      </x:c>
      <x:c r="Q42" s="13" t="str">
        <x:f>IF(AND(ISNUMBER(O42),COUNT(L42:N42)=3),O42+L42-M42-N42,"")</x:f>
      </x:c>
      <x:c r="R42" s="13" t="str">
        <x:f>IF(AND(A42&lt;&gt;"",B42&lt;&gt;"",ISNUMBER(P42),ISNUMBER(Q42)),P42-Q42,"")</x:f>
      </x:c>
      <x:c r="S42" s="13" t="str">
        <x:f>IF(COUNT(H42,J42)=2,J42-H42,"")</x:f>
      </x:c>
      <x:c r="T42" s="13" t="str">
        <x:f>IF(COUNT(I42,K42)=2,K42-I42,"")</x:f>
      </x:c>
      <x:c r="U42" s="10" t="str">
        <x:f>IF(NOT(OR(A42&lt;&gt;"",B42&lt;&gt;"",COUNT(D42:N42)&gt;0)),"",IF(OR(A42="",B42="",COUNT(D42:E42,H42:I42,L42:N42)&lt;&gt;7),"ناقص",IF(OR(MIN(D42:E42,H42:I42,L42:N42)&lt;0,Q42&lt;0),"ورودی نامعتبر",IF(R42&lt;0,"کسری",IF(R42&gt;0,"اضافه","بدون مغایرت")))))</x:f>
      </x:c>
      <x:c r="V42" s="10" t="str">
        <x:f>IF(OR(A42="",B42=""),"",IF(COUNTIFS($A$8:$A$507,A42,$B$8:$B$507,B42)&gt;1,"ثبت تکراری",""))</x:f>
      </x:c>
      <x:c r="W42" s="9"/>
    </x:row>
    <x:row r="43" ht="25" customHeight="1">
      <x:c r="A43" s="11"/>
      <x:c r="B43" s="11"/>
      <x:c r="C43" s="11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3" t="str">
        <x:f>IF(COUNT(D43:E43)=2,SUM(D43:E43),"")</x:f>
      </x:c>
      <x:c r="P43" s="13" t="str">
        <x:f>IF(COUNT(H43:I43)=2,SUM(H43:I43),"")</x:f>
      </x:c>
      <x:c r="Q43" s="13" t="str">
        <x:f>IF(AND(ISNUMBER(O43),COUNT(L43:N43)=3),O43+L43-M43-N43,"")</x:f>
      </x:c>
      <x:c r="R43" s="13" t="str">
        <x:f>IF(AND(A43&lt;&gt;"",B43&lt;&gt;"",ISNUMBER(P43),ISNUMBER(Q43)),P43-Q43,"")</x:f>
      </x:c>
      <x:c r="S43" s="13" t="str">
        <x:f>IF(COUNT(H43,J43)=2,J43-H43,"")</x:f>
      </x:c>
      <x:c r="T43" s="13" t="str">
        <x:f>IF(COUNT(I43,K43)=2,K43-I43,"")</x:f>
      </x:c>
      <x:c r="U43" s="10" t="str">
        <x:f>IF(NOT(OR(A43&lt;&gt;"",B43&lt;&gt;"",COUNT(D43:N43)&gt;0)),"",IF(OR(A43="",B43="",COUNT(D43:E43,H43:I43,L43:N43)&lt;&gt;7),"ناقص",IF(OR(MIN(D43:E43,H43:I43,L43:N43)&lt;0,Q43&lt;0),"ورودی نامعتبر",IF(R43&lt;0,"کسری",IF(R43&gt;0,"اضافه","بدون مغایرت")))))</x:f>
      </x:c>
      <x:c r="V43" s="10" t="str">
        <x:f>IF(OR(A43="",B43=""),"",IF(COUNTIFS($A$8:$A$507,A43,$B$8:$B$507,B43)&gt;1,"ثبت تکراری",""))</x:f>
      </x:c>
      <x:c r="W43" s="9"/>
    </x:row>
    <x:row r="44" ht="25" customHeight="1">
      <x:c r="A44" s="11"/>
      <x:c r="B44" s="11"/>
      <x:c r="C44" s="11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3" t="str">
        <x:f>IF(COUNT(D44:E44)=2,SUM(D44:E44),"")</x:f>
      </x:c>
      <x:c r="P44" s="13" t="str">
        <x:f>IF(COUNT(H44:I44)=2,SUM(H44:I44),"")</x:f>
      </x:c>
      <x:c r="Q44" s="13" t="str">
        <x:f>IF(AND(ISNUMBER(O44),COUNT(L44:N44)=3),O44+L44-M44-N44,"")</x:f>
      </x:c>
      <x:c r="R44" s="13" t="str">
        <x:f>IF(AND(A44&lt;&gt;"",B44&lt;&gt;"",ISNUMBER(P44),ISNUMBER(Q44)),P44-Q44,"")</x:f>
      </x:c>
      <x:c r="S44" s="13" t="str">
        <x:f>IF(COUNT(H44,J44)=2,J44-H44,"")</x:f>
      </x:c>
      <x:c r="T44" s="13" t="str">
        <x:f>IF(COUNT(I44,K44)=2,K44-I44,"")</x:f>
      </x:c>
      <x:c r="U44" s="10" t="str">
        <x:f>IF(NOT(OR(A44&lt;&gt;"",B44&lt;&gt;"",COUNT(D44:N44)&gt;0)),"",IF(OR(A44="",B44="",COUNT(D44:E44,H44:I44,L44:N44)&lt;&gt;7),"ناقص",IF(OR(MIN(D44:E44,H44:I44,L44:N44)&lt;0,Q44&lt;0),"ورودی نامعتبر",IF(R44&lt;0,"کسری",IF(R44&gt;0,"اضافه","بدون مغایرت")))))</x:f>
      </x:c>
      <x:c r="V44" s="10" t="str">
        <x:f>IF(OR(A44="",B44=""),"",IF(COUNTIFS($A$8:$A$507,A44,$B$8:$B$507,B44)&gt;1,"ثبت تکراری",""))</x:f>
      </x:c>
      <x:c r="W44" s="9"/>
    </x:row>
    <x:row r="45" ht="25" customHeight="1">
      <x:c r="A45" s="11"/>
      <x:c r="B45" s="11"/>
      <x:c r="C45" s="11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3" t="str">
        <x:f>IF(COUNT(D45:E45)=2,SUM(D45:E45),"")</x:f>
      </x:c>
      <x:c r="P45" s="13" t="str">
        <x:f>IF(COUNT(H45:I45)=2,SUM(H45:I45),"")</x:f>
      </x:c>
      <x:c r="Q45" s="13" t="str">
        <x:f>IF(AND(ISNUMBER(O45),COUNT(L45:N45)=3),O45+L45-M45-N45,"")</x:f>
      </x:c>
      <x:c r="R45" s="13" t="str">
        <x:f>IF(AND(A45&lt;&gt;"",B45&lt;&gt;"",ISNUMBER(P45),ISNUMBER(Q45)),P45-Q45,"")</x:f>
      </x:c>
      <x:c r="S45" s="13" t="str">
        <x:f>IF(COUNT(H45,J45)=2,J45-H45,"")</x:f>
      </x:c>
      <x:c r="T45" s="13" t="str">
        <x:f>IF(COUNT(I45,K45)=2,K45-I45,"")</x:f>
      </x:c>
      <x:c r="U45" s="10" t="str">
        <x:f>IF(NOT(OR(A45&lt;&gt;"",B45&lt;&gt;"",COUNT(D45:N45)&gt;0)),"",IF(OR(A45="",B45="",COUNT(D45:E45,H45:I45,L45:N45)&lt;&gt;7),"ناقص",IF(OR(MIN(D45:E45,H45:I45,L45:N45)&lt;0,Q45&lt;0),"ورودی نامعتبر",IF(R45&lt;0,"کسری",IF(R45&gt;0,"اضافه","بدون مغایرت")))))</x:f>
      </x:c>
      <x:c r="V45" s="10" t="str">
        <x:f>IF(OR(A45="",B45=""),"",IF(COUNTIFS($A$8:$A$507,A45,$B$8:$B$507,B45)&gt;1,"ثبت تکراری",""))</x:f>
      </x:c>
      <x:c r="W45" s="9"/>
    </x:row>
    <x:row r="46" ht="25" customHeight="1">
      <x:c r="A46" s="11"/>
      <x:c r="B46" s="11"/>
      <x:c r="C46" s="11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3" t="str">
        <x:f>IF(COUNT(D46:E46)=2,SUM(D46:E46),"")</x:f>
      </x:c>
      <x:c r="P46" s="13" t="str">
        <x:f>IF(COUNT(H46:I46)=2,SUM(H46:I46),"")</x:f>
      </x:c>
      <x:c r="Q46" s="13" t="str">
        <x:f>IF(AND(ISNUMBER(O46),COUNT(L46:N46)=3),O46+L46-M46-N46,"")</x:f>
      </x:c>
      <x:c r="R46" s="13" t="str">
        <x:f>IF(AND(A46&lt;&gt;"",B46&lt;&gt;"",ISNUMBER(P46),ISNUMBER(Q46)),P46-Q46,"")</x:f>
      </x:c>
      <x:c r="S46" s="13" t="str">
        <x:f>IF(COUNT(H46,J46)=2,J46-H46,"")</x:f>
      </x:c>
      <x:c r="T46" s="13" t="str">
        <x:f>IF(COUNT(I46,K46)=2,K46-I46,"")</x:f>
      </x:c>
      <x:c r="U46" s="10" t="str">
        <x:f>IF(NOT(OR(A46&lt;&gt;"",B46&lt;&gt;"",COUNT(D46:N46)&gt;0)),"",IF(OR(A46="",B46="",COUNT(D46:E46,H46:I46,L46:N46)&lt;&gt;7),"ناقص",IF(OR(MIN(D46:E46,H46:I46,L46:N46)&lt;0,Q46&lt;0),"ورودی نامعتبر",IF(R46&lt;0,"کسری",IF(R46&gt;0,"اضافه","بدون مغایرت")))))</x:f>
      </x:c>
      <x:c r="V46" s="10" t="str">
        <x:f>IF(OR(A46="",B46=""),"",IF(COUNTIFS($A$8:$A$507,A46,$B$8:$B$507,B46)&gt;1,"ثبت تکراری",""))</x:f>
      </x:c>
      <x:c r="W46" s="9"/>
    </x:row>
    <x:row r="47" ht="25" customHeight="1">
      <x:c r="A47" s="11"/>
      <x:c r="B47" s="11"/>
      <x:c r="C47" s="11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3" t="str">
        <x:f>IF(COUNT(D47:E47)=2,SUM(D47:E47),"")</x:f>
      </x:c>
      <x:c r="P47" s="13" t="str">
        <x:f>IF(COUNT(H47:I47)=2,SUM(H47:I47),"")</x:f>
      </x:c>
      <x:c r="Q47" s="13" t="str">
        <x:f>IF(AND(ISNUMBER(O47),COUNT(L47:N47)=3),O47+L47-M47-N47,"")</x:f>
      </x:c>
      <x:c r="R47" s="13" t="str">
        <x:f>IF(AND(A47&lt;&gt;"",B47&lt;&gt;"",ISNUMBER(P47),ISNUMBER(Q47)),P47-Q47,"")</x:f>
      </x:c>
      <x:c r="S47" s="13" t="str">
        <x:f>IF(COUNT(H47,J47)=2,J47-H47,"")</x:f>
      </x:c>
      <x:c r="T47" s="13" t="str">
        <x:f>IF(COUNT(I47,K47)=2,K47-I47,"")</x:f>
      </x:c>
      <x:c r="U47" s="10" t="str">
        <x:f>IF(NOT(OR(A47&lt;&gt;"",B47&lt;&gt;"",COUNT(D47:N47)&gt;0)),"",IF(OR(A47="",B47="",COUNT(D47:E47,H47:I47,L47:N47)&lt;&gt;7),"ناقص",IF(OR(MIN(D47:E47,H47:I47,L47:N47)&lt;0,Q47&lt;0),"ورودی نامعتبر",IF(R47&lt;0,"کسری",IF(R47&gt;0,"اضافه","بدون مغایرت")))))</x:f>
      </x:c>
      <x:c r="V47" s="10" t="str">
        <x:f>IF(OR(A47="",B47=""),"",IF(COUNTIFS($A$8:$A$507,A47,$B$8:$B$507,B47)&gt;1,"ثبت تکراری",""))</x:f>
      </x:c>
      <x:c r="W47" s="9"/>
    </x:row>
    <x:row r="48" ht="25" customHeight="1">
      <x:c r="A48" s="11"/>
      <x:c r="B48" s="11"/>
      <x:c r="C48" s="11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3" t="str">
        <x:f>IF(COUNT(D48:E48)=2,SUM(D48:E48),"")</x:f>
      </x:c>
      <x:c r="P48" s="13" t="str">
        <x:f>IF(COUNT(H48:I48)=2,SUM(H48:I48),"")</x:f>
      </x:c>
      <x:c r="Q48" s="13" t="str">
        <x:f>IF(AND(ISNUMBER(O48),COUNT(L48:N48)=3),O48+L48-M48-N48,"")</x:f>
      </x:c>
      <x:c r="R48" s="13" t="str">
        <x:f>IF(AND(A48&lt;&gt;"",B48&lt;&gt;"",ISNUMBER(P48),ISNUMBER(Q48)),P48-Q48,"")</x:f>
      </x:c>
      <x:c r="S48" s="13" t="str">
        <x:f>IF(COUNT(H48,J48)=2,J48-H48,"")</x:f>
      </x:c>
      <x:c r="T48" s="13" t="str">
        <x:f>IF(COUNT(I48,K48)=2,K48-I48,"")</x:f>
      </x:c>
      <x:c r="U48" s="10" t="str">
        <x:f>IF(NOT(OR(A48&lt;&gt;"",B48&lt;&gt;"",COUNT(D48:N48)&gt;0)),"",IF(OR(A48="",B48="",COUNT(D48:E48,H48:I48,L48:N48)&lt;&gt;7),"ناقص",IF(OR(MIN(D48:E48,H48:I48,L48:N48)&lt;0,Q48&lt;0),"ورودی نامعتبر",IF(R48&lt;0,"کسری",IF(R48&gt;0,"اضافه","بدون مغایرت")))))</x:f>
      </x:c>
      <x:c r="V48" s="10" t="str">
        <x:f>IF(OR(A48="",B48=""),"",IF(COUNTIFS($A$8:$A$507,A48,$B$8:$B$507,B48)&gt;1,"ثبت تکراری",""))</x:f>
      </x:c>
      <x:c r="W48" s="9"/>
    </x:row>
    <x:row r="49" ht="25" customHeight="1">
      <x:c r="A49" s="11"/>
      <x:c r="B49" s="11"/>
      <x:c r="C49" s="11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3" t="str">
        <x:f>IF(COUNT(D49:E49)=2,SUM(D49:E49),"")</x:f>
      </x:c>
      <x:c r="P49" s="13" t="str">
        <x:f>IF(COUNT(H49:I49)=2,SUM(H49:I49),"")</x:f>
      </x:c>
      <x:c r="Q49" s="13" t="str">
        <x:f>IF(AND(ISNUMBER(O49),COUNT(L49:N49)=3),O49+L49-M49-N49,"")</x:f>
      </x:c>
      <x:c r="R49" s="13" t="str">
        <x:f>IF(AND(A49&lt;&gt;"",B49&lt;&gt;"",ISNUMBER(P49),ISNUMBER(Q49)),P49-Q49,"")</x:f>
      </x:c>
      <x:c r="S49" s="13" t="str">
        <x:f>IF(COUNT(H49,J49)=2,J49-H49,"")</x:f>
      </x:c>
      <x:c r="T49" s="13" t="str">
        <x:f>IF(COUNT(I49,K49)=2,K49-I49,"")</x:f>
      </x:c>
      <x:c r="U49" s="10" t="str">
        <x:f>IF(NOT(OR(A49&lt;&gt;"",B49&lt;&gt;"",COUNT(D49:N49)&gt;0)),"",IF(OR(A49="",B49="",COUNT(D49:E49,H49:I49,L49:N49)&lt;&gt;7),"ناقص",IF(OR(MIN(D49:E49,H49:I49,L49:N49)&lt;0,Q49&lt;0),"ورودی نامعتبر",IF(R49&lt;0,"کسری",IF(R49&gt;0,"اضافه","بدون مغایرت")))))</x:f>
      </x:c>
      <x:c r="V49" s="10" t="str">
        <x:f>IF(OR(A49="",B49=""),"",IF(COUNTIFS($A$8:$A$507,A49,$B$8:$B$507,B49)&gt;1,"ثبت تکراری",""))</x:f>
      </x:c>
      <x:c r="W49" s="9"/>
    </x:row>
    <x:row r="50" ht="25" customHeight="1">
      <x:c r="A50" s="11"/>
      <x:c r="B50" s="11"/>
      <x:c r="C50" s="11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3" t="str">
        <x:f>IF(COUNT(D50:E50)=2,SUM(D50:E50),"")</x:f>
      </x:c>
      <x:c r="P50" s="13" t="str">
        <x:f>IF(COUNT(H50:I50)=2,SUM(H50:I50),"")</x:f>
      </x:c>
      <x:c r="Q50" s="13" t="str">
        <x:f>IF(AND(ISNUMBER(O50),COUNT(L50:N50)=3),O50+L50-M50-N50,"")</x:f>
      </x:c>
      <x:c r="R50" s="13" t="str">
        <x:f>IF(AND(A50&lt;&gt;"",B50&lt;&gt;"",ISNUMBER(P50),ISNUMBER(Q50)),P50-Q50,"")</x:f>
      </x:c>
      <x:c r="S50" s="13" t="str">
        <x:f>IF(COUNT(H50,J50)=2,J50-H50,"")</x:f>
      </x:c>
      <x:c r="T50" s="13" t="str">
        <x:f>IF(COUNT(I50,K50)=2,K50-I50,"")</x:f>
      </x:c>
      <x:c r="U50" s="10" t="str">
        <x:f>IF(NOT(OR(A50&lt;&gt;"",B50&lt;&gt;"",COUNT(D50:N50)&gt;0)),"",IF(OR(A50="",B50="",COUNT(D50:E50,H50:I50,L50:N50)&lt;&gt;7),"ناقص",IF(OR(MIN(D50:E50,H50:I50,L50:N50)&lt;0,Q50&lt;0),"ورودی نامعتبر",IF(R50&lt;0,"کسری",IF(R50&gt;0,"اضافه","بدون مغایرت")))))</x:f>
      </x:c>
      <x:c r="V50" s="10" t="str">
        <x:f>IF(OR(A50="",B50=""),"",IF(COUNTIFS($A$8:$A$507,A50,$B$8:$B$507,B50)&gt;1,"ثبت تکراری",""))</x:f>
      </x:c>
      <x:c r="W50" s="9"/>
    </x:row>
    <x:row r="51" ht="25" customHeight="1">
      <x:c r="A51" s="11"/>
      <x:c r="B51" s="11"/>
      <x:c r="C51" s="11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3" t="str">
        <x:f>IF(COUNT(D51:E51)=2,SUM(D51:E51),"")</x:f>
      </x:c>
      <x:c r="P51" s="13" t="str">
        <x:f>IF(COUNT(H51:I51)=2,SUM(H51:I51),"")</x:f>
      </x:c>
      <x:c r="Q51" s="13" t="str">
        <x:f>IF(AND(ISNUMBER(O51),COUNT(L51:N51)=3),O51+L51-M51-N51,"")</x:f>
      </x:c>
      <x:c r="R51" s="13" t="str">
        <x:f>IF(AND(A51&lt;&gt;"",B51&lt;&gt;"",ISNUMBER(P51),ISNUMBER(Q51)),P51-Q51,"")</x:f>
      </x:c>
      <x:c r="S51" s="13" t="str">
        <x:f>IF(COUNT(H51,J51)=2,J51-H51,"")</x:f>
      </x:c>
      <x:c r="T51" s="13" t="str">
        <x:f>IF(COUNT(I51,K51)=2,K51-I51,"")</x:f>
      </x:c>
      <x:c r="U51" s="10" t="str">
        <x:f>IF(NOT(OR(A51&lt;&gt;"",B51&lt;&gt;"",COUNT(D51:N51)&gt;0)),"",IF(OR(A51="",B51="",COUNT(D51:E51,H51:I51,L51:N51)&lt;&gt;7),"ناقص",IF(OR(MIN(D51:E51,H51:I51,L51:N51)&lt;0,Q51&lt;0),"ورودی نامعتبر",IF(R51&lt;0,"کسری",IF(R51&gt;0,"اضافه","بدون مغایرت")))))</x:f>
      </x:c>
      <x:c r="V51" s="10" t="str">
        <x:f>IF(OR(A51="",B51=""),"",IF(COUNTIFS($A$8:$A$507,A51,$B$8:$B$507,B51)&gt;1,"ثبت تکراری",""))</x:f>
      </x:c>
      <x:c r="W51" s="9"/>
    </x:row>
    <x:row r="52" ht="25" customHeight="1">
      <x:c r="A52" s="11"/>
      <x:c r="B52" s="11"/>
      <x:c r="C52" s="11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3" t="str">
        <x:f>IF(COUNT(D52:E52)=2,SUM(D52:E52),"")</x:f>
      </x:c>
      <x:c r="P52" s="13" t="str">
        <x:f>IF(COUNT(H52:I52)=2,SUM(H52:I52),"")</x:f>
      </x:c>
      <x:c r="Q52" s="13" t="str">
        <x:f>IF(AND(ISNUMBER(O52),COUNT(L52:N52)=3),O52+L52-M52-N52,"")</x:f>
      </x:c>
      <x:c r="R52" s="13" t="str">
        <x:f>IF(AND(A52&lt;&gt;"",B52&lt;&gt;"",ISNUMBER(P52),ISNUMBER(Q52)),P52-Q52,"")</x:f>
      </x:c>
      <x:c r="S52" s="13" t="str">
        <x:f>IF(COUNT(H52,J52)=2,J52-H52,"")</x:f>
      </x:c>
      <x:c r="T52" s="13" t="str">
        <x:f>IF(COUNT(I52,K52)=2,K52-I52,"")</x:f>
      </x:c>
      <x:c r="U52" s="10" t="str">
        <x:f>IF(NOT(OR(A52&lt;&gt;"",B52&lt;&gt;"",COUNT(D52:N52)&gt;0)),"",IF(OR(A52="",B52="",COUNT(D52:E52,H52:I52,L52:N52)&lt;&gt;7),"ناقص",IF(OR(MIN(D52:E52,H52:I52,L52:N52)&lt;0,Q52&lt;0),"ورودی نامعتبر",IF(R52&lt;0,"کسری",IF(R52&gt;0,"اضافه","بدون مغایرت")))))</x:f>
      </x:c>
      <x:c r="V52" s="10" t="str">
        <x:f>IF(OR(A52="",B52=""),"",IF(COUNTIFS($A$8:$A$507,A52,$B$8:$B$507,B52)&gt;1,"ثبت تکراری",""))</x:f>
      </x:c>
      <x:c r="W52" s="9"/>
    </x:row>
    <x:row r="53" ht="25" customHeight="1">
      <x:c r="A53" s="11"/>
      <x:c r="B53" s="11"/>
      <x:c r="C53" s="11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3" t="str">
        <x:f>IF(COUNT(D53:E53)=2,SUM(D53:E53),"")</x:f>
      </x:c>
      <x:c r="P53" s="13" t="str">
        <x:f>IF(COUNT(H53:I53)=2,SUM(H53:I53),"")</x:f>
      </x:c>
      <x:c r="Q53" s="13" t="str">
        <x:f>IF(AND(ISNUMBER(O53),COUNT(L53:N53)=3),O53+L53-M53-N53,"")</x:f>
      </x:c>
      <x:c r="R53" s="13" t="str">
        <x:f>IF(AND(A53&lt;&gt;"",B53&lt;&gt;"",ISNUMBER(P53),ISNUMBER(Q53)),P53-Q53,"")</x:f>
      </x:c>
      <x:c r="S53" s="13" t="str">
        <x:f>IF(COUNT(H53,J53)=2,J53-H53,"")</x:f>
      </x:c>
      <x:c r="T53" s="13" t="str">
        <x:f>IF(COUNT(I53,K53)=2,K53-I53,"")</x:f>
      </x:c>
      <x:c r="U53" s="10" t="str">
        <x:f>IF(NOT(OR(A53&lt;&gt;"",B53&lt;&gt;"",COUNT(D53:N53)&gt;0)),"",IF(OR(A53="",B53="",COUNT(D53:E53,H53:I53,L53:N53)&lt;&gt;7),"ناقص",IF(OR(MIN(D53:E53,H53:I53,L53:N53)&lt;0,Q53&lt;0),"ورودی نامعتبر",IF(R53&lt;0,"کسری",IF(R53&gt;0,"اضافه","بدون مغایرت")))))</x:f>
      </x:c>
      <x:c r="V53" s="10" t="str">
        <x:f>IF(OR(A53="",B53=""),"",IF(COUNTIFS($A$8:$A$507,A53,$B$8:$B$507,B53)&gt;1,"ثبت تکراری",""))</x:f>
      </x:c>
      <x:c r="W53" s="9"/>
    </x:row>
    <x:row r="54" ht="25" customHeight="1">
      <x:c r="A54" s="11"/>
      <x:c r="B54" s="11"/>
      <x:c r="C54" s="11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3" t="str">
        <x:f>IF(COUNT(D54:E54)=2,SUM(D54:E54),"")</x:f>
      </x:c>
      <x:c r="P54" s="13" t="str">
        <x:f>IF(COUNT(H54:I54)=2,SUM(H54:I54),"")</x:f>
      </x:c>
      <x:c r="Q54" s="13" t="str">
        <x:f>IF(AND(ISNUMBER(O54),COUNT(L54:N54)=3),O54+L54-M54-N54,"")</x:f>
      </x:c>
      <x:c r="R54" s="13" t="str">
        <x:f>IF(AND(A54&lt;&gt;"",B54&lt;&gt;"",ISNUMBER(P54),ISNUMBER(Q54)),P54-Q54,"")</x:f>
      </x:c>
      <x:c r="S54" s="13" t="str">
        <x:f>IF(COUNT(H54,J54)=2,J54-H54,"")</x:f>
      </x:c>
      <x:c r="T54" s="13" t="str">
        <x:f>IF(COUNT(I54,K54)=2,K54-I54,"")</x:f>
      </x:c>
      <x:c r="U54" s="10" t="str">
        <x:f>IF(NOT(OR(A54&lt;&gt;"",B54&lt;&gt;"",COUNT(D54:N54)&gt;0)),"",IF(OR(A54="",B54="",COUNT(D54:E54,H54:I54,L54:N54)&lt;&gt;7),"ناقص",IF(OR(MIN(D54:E54,H54:I54,L54:N54)&lt;0,Q54&lt;0),"ورودی نامعتبر",IF(R54&lt;0,"کسری",IF(R54&gt;0,"اضافه","بدون مغایرت")))))</x:f>
      </x:c>
      <x:c r="V54" s="10" t="str">
        <x:f>IF(OR(A54="",B54=""),"",IF(COUNTIFS($A$8:$A$507,A54,$B$8:$B$507,B54)&gt;1,"ثبت تکراری",""))</x:f>
      </x:c>
      <x:c r="W54" s="9"/>
    </x:row>
    <x:row r="55" ht="25" customHeight="1">
      <x:c r="A55" s="11"/>
      <x:c r="B55" s="11"/>
      <x:c r="C55" s="11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3" t="str">
        <x:f>IF(COUNT(D55:E55)=2,SUM(D55:E55),"")</x:f>
      </x:c>
      <x:c r="P55" s="13" t="str">
        <x:f>IF(COUNT(H55:I55)=2,SUM(H55:I55),"")</x:f>
      </x:c>
      <x:c r="Q55" s="13" t="str">
        <x:f>IF(AND(ISNUMBER(O55),COUNT(L55:N55)=3),O55+L55-M55-N55,"")</x:f>
      </x:c>
      <x:c r="R55" s="13" t="str">
        <x:f>IF(AND(A55&lt;&gt;"",B55&lt;&gt;"",ISNUMBER(P55),ISNUMBER(Q55)),P55-Q55,"")</x:f>
      </x:c>
      <x:c r="S55" s="13" t="str">
        <x:f>IF(COUNT(H55,J55)=2,J55-H55,"")</x:f>
      </x:c>
      <x:c r="T55" s="13" t="str">
        <x:f>IF(COUNT(I55,K55)=2,K55-I55,"")</x:f>
      </x:c>
      <x:c r="U55" s="10" t="str">
        <x:f>IF(NOT(OR(A55&lt;&gt;"",B55&lt;&gt;"",COUNT(D55:N55)&gt;0)),"",IF(OR(A55="",B55="",COUNT(D55:E55,H55:I55,L55:N55)&lt;&gt;7),"ناقص",IF(OR(MIN(D55:E55,H55:I55,L55:N55)&lt;0,Q55&lt;0),"ورودی نامعتبر",IF(R55&lt;0,"کسری",IF(R55&gt;0,"اضافه","بدون مغایرت")))))</x:f>
      </x:c>
      <x:c r="V55" s="10" t="str">
        <x:f>IF(OR(A55="",B55=""),"",IF(COUNTIFS($A$8:$A$507,A55,$B$8:$B$507,B55)&gt;1,"ثبت تکراری",""))</x:f>
      </x:c>
      <x:c r="W55" s="9"/>
    </x:row>
    <x:row r="56" ht="25" customHeight="1">
      <x:c r="A56" s="11"/>
      <x:c r="B56" s="11"/>
      <x:c r="C56" s="11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3" t="str">
        <x:f>IF(COUNT(D56:E56)=2,SUM(D56:E56),"")</x:f>
      </x:c>
      <x:c r="P56" s="13" t="str">
        <x:f>IF(COUNT(H56:I56)=2,SUM(H56:I56),"")</x:f>
      </x:c>
      <x:c r="Q56" s="13" t="str">
        <x:f>IF(AND(ISNUMBER(O56),COUNT(L56:N56)=3),O56+L56-M56-N56,"")</x:f>
      </x:c>
      <x:c r="R56" s="13" t="str">
        <x:f>IF(AND(A56&lt;&gt;"",B56&lt;&gt;"",ISNUMBER(P56),ISNUMBER(Q56)),P56-Q56,"")</x:f>
      </x:c>
      <x:c r="S56" s="13" t="str">
        <x:f>IF(COUNT(H56,J56)=2,J56-H56,"")</x:f>
      </x:c>
      <x:c r="T56" s="13" t="str">
        <x:f>IF(COUNT(I56,K56)=2,K56-I56,"")</x:f>
      </x:c>
      <x:c r="U56" s="10" t="str">
        <x:f>IF(NOT(OR(A56&lt;&gt;"",B56&lt;&gt;"",COUNT(D56:N56)&gt;0)),"",IF(OR(A56="",B56="",COUNT(D56:E56,H56:I56,L56:N56)&lt;&gt;7),"ناقص",IF(OR(MIN(D56:E56,H56:I56,L56:N56)&lt;0,Q56&lt;0),"ورودی نامعتبر",IF(R56&lt;0,"کسری",IF(R56&gt;0,"اضافه","بدون مغایرت")))))</x:f>
      </x:c>
      <x:c r="V56" s="10" t="str">
        <x:f>IF(OR(A56="",B56=""),"",IF(COUNTIFS($A$8:$A$507,A56,$B$8:$B$507,B56)&gt;1,"ثبت تکراری",""))</x:f>
      </x:c>
      <x:c r="W56" s="9"/>
    </x:row>
    <x:row r="57" ht="25" customHeight="1">
      <x:c r="A57" s="11"/>
      <x:c r="B57" s="11"/>
      <x:c r="C57" s="11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3" t="str">
        <x:f>IF(COUNT(D57:E57)=2,SUM(D57:E57),"")</x:f>
      </x:c>
      <x:c r="P57" s="13" t="str">
        <x:f>IF(COUNT(H57:I57)=2,SUM(H57:I57),"")</x:f>
      </x:c>
      <x:c r="Q57" s="13" t="str">
        <x:f>IF(AND(ISNUMBER(O57),COUNT(L57:N57)=3),O57+L57-M57-N57,"")</x:f>
      </x:c>
      <x:c r="R57" s="13" t="str">
        <x:f>IF(AND(A57&lt;&gt;"",B57&lt;&gt;"",ISNUMBER(P57),ISNUMBER(Q57)),P57-Q57,"")</x:f>
      </x:c>
      <x:c r="S57" s="13" t="str">
        <x:f>IF(COUNT(H57,J57)=2,J57-H57,"")</x:f>
      </x:c>
      <x:c r="T57" s="13" t="str">
        <x:f>IF(COUNT(I57,K57)=2,K57-I57,"")</x:f>
      </x:c>
      <x:c r="U57" s="10" t="str">
        <x:f>IF(NOT(OR(A57&lt;&gt;"",B57&lt;&gt;"",COUNT(D57:N57)&gt;0)),"",IF(OR(A57="",B57="",COUNT(D57:E57,H57:I57,L57:N57)&lt;&gt;7),"ناقص",IF(OR(MIN(D57:E57,H57:I57,L57:N57)&lt;0,Q57&lt;0),"ورودی نامعتبر",IF(R57&lt;0,"کسری",IF(R57&gt;0,"اضافه","بدون مغایرت")))))</x:f>
      </x:c>
      <x:c r="V57" s="10" t="str">
        <x:f>IF(OR(A57="",B57=""),"",IF(COUNTIFS($A$8:$A$507,A57,$B$8:$B$507,B57)&gt;1,"ثبت تکراری",""))</x:f>
      </x:c>
      <x:c r="W57" s="9"/>
    </x:row>
    <x:row r="58" ht="25" customHeight="1">
      <x:c r="A58" s="11"/>
      <x:c r="B58" s="11"/>
      <x:c r="C58" s="11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3" t="str">
        <x:f>IF(COUNT(D58:E58)=2,SUM(D58:E58),"")</x:f>
      </x:c>
      <x:c r="P58" s="13" t="str">
        <x:f>IF(COUNT(H58:I58)=2,SUM(H58:I58),"")</x:f>
      </x:c>
      <x:c r="Q58" s="13" t="str">
        <x:f>IF(AND(ISNUMBER(O58),COUNT(L58:N58)=3),O58+L58-M58-N58,"")</x:f>
      </x:c>
      <x:c r="R58" s="13" t="str">
        <x:f>IF(AND(A58&lt;&gt;"",B58&lt;&gt;"",ISNUMBER(P58),ISNUMBER(Q58)),P58-Q58,"")</x:f>
      </x:c>
      <x:c r="S58" s="13" t="str">
        <x:f>IF(COUNT(H58,J58)=2,J58-H58,"")</x:f>
      </x:c>
      <x:c r="T58" s="13" t="str">
        <x:f>IF(COUNT(I58,K58)=2,K58-I58,"")</x:f>
      </x:c>
      <x:c r="U58" s="10" t="str">
        <x:f>IF(NOT(OR(A58&lt;&gt;"",B58&lt;&gt;"",COUNT(D58:N58)&gt;0)),"",IF(OR(A58="",B58="",COUNT(D58:E58,H58:I58,L58:N58)&lt;&gt;7),"ناقص",IF(OR(MIN(D58:E58,H58:I58,L58:N58)&lt;0,Q58&lt;0),"ورودی نامعتبر",IF(R58&lt;0,"کسری",IF(R58&gt;0,"اضافه","بدون مغایرت")))))</x:f>
      </x:c>
      <x:c r="V58" s="10" t="str">
        <x:f>IF(OR(A58="",B58=""),"",IF(COUNTIFS($A$8:$A$507,A58,$B$8:$B$507,B58)&gt;1,"ثبت تکراری",""))</x:f>
      </x:c>
      <x:c r="W58" s="9"/>
    </x:row>
    <x:row r="59" ht="25" customHeight="1">
      <x:c r="A59" s="11"/>
      <x:c r="B59" s="11"/>
      <x:c r="C59" s="11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3" t="str">
        <x:f>IF(COUNT(D59:E59)=2,SUM(D59:E59),"")</x:f>
      </x:c>
      <x:c r="P59" s="13" t="str">
        <x:f>IF(COUNT(H59:I59)=2,SUM(H59:I59),"")</x:f>
      </x:c>
      <x:c r="Q59" s="13" t="str">
        <x:f>IF(AND(ISNUMBER(O59),COUNT(L59:N59)=3),O59+L59-M59-N59,"")</x:f>
      </x:c>
      <x:c r="R59" s="13" t="str">
        <x:f>IF(AND(A59&lt;&gt;"",B59&lt;&gt;"",ISNUMBER(P59),ISNUMBER(Q59)),P59-Q59,"")</x:f>
      </x:c>
      <x:c r="S59" s="13" t="str">
        <x:f>IF(COUNT(H59,J59)=2,J59-H59,"")</x:f>
      </x:c>
      <x:c r="T59" s="13" t="str">
        <x:f>IF(COUNT(I59,K59)=2,K59-I59,"")</x:f>
      </x:c>
      <x:c r="U59" s="10" t="str">
        <x:f>IF(NOT(OR(A59&lt;&gt;"",B59&lt;&gt;"",COUNT(D59:N59)&gt;0)),"",IF(OR(A59="",B59="",COUNT(D59:E59,H59:I59,L59:N59)&lt;&gt;7),"ناقص",IF(OR(MIN(D59:E59,H59:I59,L59:N59)&lt;0,Q59&lt;0),"ورودی نامعتبر",IF(R59&lt;0,"کسری",IF(R59&gt;0,"اضافه","بدون مغایرت")))))</x:f>
      </x:c>
      <x:c r="V59" s="10" t="str">
        <x:f>IF(OR(A59="",B59=""),"",IF(COUNTIFS($A$8:$A$507,A59,$B$8:$B$507,B59)&gt;1,"ثبت تکراری",""))</x:f>
      </x:c>
      <x:c r="W59" s="9"/>
    </x:row>
    <x:row r="60" ht="25" customHeight="1">
      <x:c r="A60" s="11"/>
      <x:c r="B60" s="11"/>
      <x:c r="C60" s="11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3" t="str">
        <x:f>IF(COUNT(D60:E60)=2,SUM(D60:E60),"")</x:f>
      </x:c>
      <x:c r="P60" s="13" t="str">
        <x:f>IF(COUNT(H60:I60)=2,SUM(H60:I60),"")</x:f>
      </x:c>
      <x:c r="Q60" s="13" t="str">
        <x:f>IF(AND(ISNUMBER(O60),COUNT(L60:N60)=3),O60+L60-M60-N60,"")</x:f>
      </x:c>
      <x:c r="R60" s="13" t="str">
        <x:f>IF(AND(A60&lt;&gt;"",B60&lt;&gt;"",ISNUMBER(P60),ISNUMBER(Q60)),P60-Q60,"")</x:f>
      </x:c>
      <x:c r="S60" s="13" t="str">
        <x:f>IF(COUNT(H60,J60)=2,J60-H60,"")</x:f>
      </x:c>
      <x:c r="T60" s="13" t="str">
        <x:f>IF(COUNT(I60,K60)=2,K60-I60,"")</x:f>
      </x:c>
      <x:c r="U60" s="10" t="str">
        <x:f>IF(NOT(OR(A60&lt;&gt;"",B60&lt;&gt;"",COUNT(D60:N60)&gt;0)),"",IF(OR(A60="",B60="",COUNT(D60:E60,H60:I60,L60:N60)&lt;&gt;7),"ناقص",IF(OR(MIN(D60:E60,H60:I60,L60:N60)&lt;0,Q60&lt;0),"ورودی نامعتبر",IF(R60&lt;0,"کسری",IF(R60&gt;0,"اضافه","بدون مغایرت")))))</x:f>
      </x:c>
      <x:c r="V60" s="10" t="str">
        <x:f>IF(OR(A60="",B60=""),"",IF(COUNTIFS($A$8:$A$507,A60,$B$8:$B$507,B60)&gt;1,"ثبت تکراری",""))</x:f>
      </x:c>
      <x:c r="W60" s="9"/>
    </x:row>
    <x:row r="61" ht="25" customHeight="1">
      <x:c r="A61" s="11"/>
      <x:c r="B61" s="11"/>
      <x:c r="C61" s="11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3" t="str">
        <x:f>IF(COUNT(D61:E61)=2,SUM(D61:E61),"")</x:f>
      </x:c>
      <x:c r="P61" s="13" t="str">
        <x:f>IF(COUNT(H61:I61)=2,SUM(H61:I61),"")</x:f>
      </x:c>
      <x:c r="Q61" s="13" t="str">
        <x:f>IF(AND(ISNUMBER(O61),COUNT(L61:N61)=3),O61+L61-M61-N61,"")</x:f>
      </x:c>
      <x:c r="R61" s="13" t="str">
        <x:f>IF(AND(A61&lt;&gt;"",B61&lt;&gt;"",ISNUMBER(P61),ISNUMBER(Q61)),P61-Q61,"")</x:f>
      </x:c>
      <x:c r="S61" s="13" t="str">
        <x:f>IF(COUNT(H61,J61)=2,J61-H61,"")</x:f>
      </x:c>
      <x:c r="T61" s="13" t="str">
        <x:f>IF(COUNT(I61,K61)=2,K61-I61,"")</x:f>
      </x:c>
      <x:c r="U61" s="10" t="str">
        <x:f>IF(NOT(OR(A61&lt;&gt;"",B61&lt;&gt;"",COUNT(D61:N61)&gt;0)),"",IF(OR(A61="",B61="",COUNT(D61:E61,H61:I61,L61:N61)&lt;&gt;7),"ناقص",IF(OR(MIN(D61:E61,H61:I61,L61:N61)&lt;0,Q61&lt;0),"ورودی نامعتبر",IF(R61&lt;0,"کسری",IF(R61&gt;0,"اضافه","بدون مغایرت")))))</x:f>
      </x:c>
      <x:c r="V61" s="10" t="str">
        <x:f>IF(OR(A61="",B61=""),"",IF(COUNTIFS($A$8:$A$507,A61,$B$8:$B$507,B61)&gt;1,"ثبت تکراری",""))</x:f>
      </x:c>
      <x:c r="W61" s="9"/>
    </x:row>
    <x:row r="62" ht="25" customHeight="1">
      <x:c r="A62" s="11"/>
      <x:c r="B62" s="11"/>
      <x:c r="C62" s="11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3" t="str">
        <x:f>IF(COUNT(D62:E62)=2,SUM(D62:E62),"")</x:f>
      </x:c>
      <x:c r="P62" s="13" t="str">
        <x:f>IF(COUNT(H62:I62)=2,SUM(H62:I62),"")</x:f>
      </x:c>
      <x:c r="Q62" s="13" t="str">
        <x:f>IF(AND(ISNUMBER(O62),COUNT(L62:N62)=3),O62+L62-M62-N62,"")</x:f>
      </x:c>
      <x:c r="R62" s="13" t="str">
        <x:f>IF(AND(A62&lt;&gt;"",B62&lt;&gt;"",ISNUMBER(P62),ISNUMBER(Q62)),P62-Q62,"")</x:f>
      </x:c>
      <x:c r="S62" s="13" t="str">
        <x:f>IF(COUNT(H62,J62)=2,J62-H62,"")</x:f>
      </x:c>
      <x:c r="T62" s="13" t="str">
        <x:f>IF(COUNT(I62,K62)=2,K62-I62,"")</x:f>
      </x:c>
      <x:c r="U62" s="10" t="str">
        <x:f>IF(NOT(OR(A62&lt;&gt;"",B62&lt;&gt;"",COUNT(D62:N62)&gt;0)),"",IF(OR(A62="",B62="",COUNT(D62:E62,H62:I62,L62:N62)&lt;&gt;7),"ناقص",IF(OR(MIN(D62:E62,H62:I62,L62:N62)&lt;0,Q62&lt;0),"ورودی نامعتبر",IF(R62&lt;0,"کسری",IF(R62&gt;0,"اضافه","بدون مغایرت")))))</x:f>
      </x:c>
      <x:c r="V62" s="10" t="str">
        <x:f>IF(OR(A62="",B62=""),"",IF(COUNTIFS($A$8:$A$507,A62,$B$8:$B$507,B62)&gt;1,"ثبت تکراری",""))</x:f>
      </x:c>
      <x:c r="W62" s="9"/>
    </x:row>
    <x:row r="63" ht="25" customHeight="1">
      <x:c r="A63" s="11"/>
      <x:c r="B63" s="11"/>
      <x:c r="C63" s="11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3" t="str">
        <x:f>IF(COUNT(D63:E63)=2,SUM(D63:E63),"")</x:f>
      </x:c>
      <x:c r="P63" s="13" t="str">
        <x:f>IF(COUNT(H63:I63)=2,SUM(H63:I63),"")</x:f>
      </x:c>
      <x:c r="Q63" s="13" t="str">
        <x:f>IF(AND(ISNUMBER(O63),COUNT(L63:N63)=3),O63+L63-M63-N63,"")</x:f>
      </x:c>
      <x:c r="R63" s="13" t="str">
        <x:f>IF(AND(A63&lt;&gt;"",B63&lt;&gt;"",ISNUMBER(P63),ISNUMBER(Q63)),P63-Q63,"")</x:f>
      </x:c>
      <x:c r="S63" s="13" t="str">
        <x:f>IF(COUNT(H63,J63)=2,J63-H63,"")</x:f>
      </x:c>
      <x:c r="T63" s="13" t="str">
        <x:f>IF(COUNT(I63,K63)=2,K63-I63,"")</x:f>
      </x:c>
      <x:c r="U63" s="10" t="str">
        <x:f>IF(NOT(OR(A63&lt;&gt;"",B63&lt;&gt;"",COUNT(D63:N63)&gt;0)),"",IF(OR(A63="",B63="",COUNT(D63:E63,H63:I63,L63:N63)&lt;&gt;7),"ناقص",IF(OR(MIN(D63:E63,H63:I63,L63:N63)&lt;0,Q63&lt;0),"ورودی نامعتبر",IF(R63&lt;0,"کسری",IF(R63&gt;0,"اضافه","بدون مغایرت")))))</x:f>
      </x:c>
      <x:c r="V63" s="10" t="str">
        <x:f>IF(OR(A63="",B63=""),"",IF(COUNTIFS($A$8:$A$507,A63,$B$8:$B$507,B63)&gt;1,"ثبت تکراری",""))</x:f>
      </x:c>
      <x:c r="W63" s="9"/>
    </x:row>
    <x:row r="64" ht="25" customHeight="1">
      <x:c r="A64" s="11"/>
      <x:c r="B64" s="11"/>
      <x:c r="C64" s="11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3" t="str">
        <x:f>IF(COUNT(D64:E64)=2,SUM(D64:E64),"")</x:f>
      </x:c>
      <x:c r="P64" s="13" t="str">
        <x:f>IF(COUNT(H64:I64)=2,SUM(H64:I64),"")</x:f>
      </x:c>
      <x:c r="Q64" s="13" t="str">
        <x:f>IF(AND(ISNUMBER(O64),COUNT(L64:N64)=3),O64+L64-M64-N64,"")</x:f>
      </x:c>
      <x:c r="R64" s="13" t="str">
        <x:f>IF(AND(A64&lt;&gt;"",B64&lt;&gt;"",ISNUMBER(P64),ISNUMBER(Q64)),P64-Q64,"")</x:f>
      </x:c>
      <x:c r="S64" s="13" t="str">
        <x:f>IF(COUNT(H64,J64)=2,J64-H64,"")</x:f>
      </x:c>
      <x:c r="T64" s="13" t="str">
        <x:f>IF(COUNT(I64,K64)=2,K64-I64,"")</x:f>
      </x:c>
      <x:c r="U64" s="10" t="str">
        <x:f>IF(NOT(OR(A64&lt;&gt;"",B64&lt;&gt;"",COUNT(D64:N64)&gt;0)),"",IF(OR(A64="",B64="",COUNT(D64:E64,H64:I64,L64:N64)&lt;&gt;7),"ناقص",IF(OR(MIN(D64:E64,H64:I64,L64:N64)&lt;0,Q64&lt;0),"ورودی نامعتبر",IF(R64&lt;0,"کسری",IF(R64&gt;0,"اضافه","بدون مغایرت")))))</x:f>
      </x:c>
      <x:c r="V64" s="10" t="str">
        <x:f>IF(OR(A64="",B64=""),"",IF(COUNTIFS($A$8:$A$507,A64,$B$8:$B$507,B64)&gt;1,"ثبت تکراری",""))</x:f>
      </x:c>
      <x:c r="W64" s="9"/>
    </x:row>
    <x:row r="65" ht="25" customHeight="1">
      <x:c r="A65" s="11"/>
      <x:c r="B65" s="11"/>
      <x:c r="C65" s="11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3" t="str">
        <x:f>IF(COUNT(D65:E65)=2,SUM(D65:E65),"")</x:f>
      </x:c>
      <x:c r="P65" s="13" t="str">
        <x:f>IF(COUNT(H65:I65)=2,SUM(H65:I65),"")</x:f>
      </x:c>
      <x:c r="Q65" s="13" t="str">
        <x:f>IF(AND(ISNUMBER(O65),COUNT(L65:N65)=3),O65+L65-M65-N65,"")</x:f>
      </x:c>
      <x:c r="R65" s="13" t="str">
        <x:f>IF(AND(A65&lt;&gt;"",B65&lt;&gt;"",ISNUMBER(P65),ISNUMBER(Q65)),P65-Q65,"")</x:f>
      </x:c>
      <x:c r="S65" s="13" t="str">
        <x:f>IF(COUNT(H65,J65)=2,J65-H65,"")</x:f>
      </x:c>
      <x:c r="T65" s="13" t="str">
        <x:f>IF(COUNT(I65,K65)=2,K65-I65,"")</x:f>
      </x:c>
      <x:c r="U65" s="10" t="str">
        <x:f>IF(NOT(OR(A65&lt;&gt;"",B65&lt;&gt;"",COUNT(D65:N65)&gt;0)),"",IF(OR(A65="",B65="",COUNT(D65:E65,H65:I65,L65:N65)&lt;&gt;7),"ناقص",IF(OR(MIN(D65:E65,H65:I65,L65:N65)&lt;0,Q65&lt;0),"ورودی نامعتبر",IF(R65&lt;0,"کسری",IF(R65&gt;0,"اضافه","بدون مغایرت")))))</x:f>
      </x:c>
      <x:c r="V65" s="10" t="str">
        <x:f>IF(OR(A65="",B65=""),"",IF(COUNTIFS($A$8:$A$507,A65,$B$8:$B$507,B65)&gt;1,"ثبت تکراری",""))</x:f>
      </x:c>
      <x:c r="W65" s="9"/>
    </x:row>
    <x:row r="66" ht="25" customHeight="1">
      <x:c r="A66" s="11"/>
      <x:c r="B66" s="11"/>
      <x:c r="C66" s="11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3" t="str">
        <x:f>IF(COUNT(D66:E66)=2,SUM(D66:E66),"")</x:f>
      </x:c>
      <x:c r="P66" s="13" t="str">
        <x:f>IF(COUNT(H66:I66)=2,SUM(H66:I66),"")</x:f>
      </x:c>
      <x:c r="Q66" s="13" t="str">
        <x:f>IF(AND(ISNUMBER(O66),COUNT(L66:N66)=3),O66+L66-M66-N66,"")</x:f>
      </x:c>
      <x:c r="R66" s="13" t="str">
        <x:f>IF(AND(A66&lt;&gt;"",B66&lt;&gt;"",ISNUMBER(P66),ISNUMBER(Q66)),P66-Q66,"")</x:f>
      </x:c>
      <x:c r="S66" s="13" t="str">
        <x:f>IF(COUNT(H66,J66)=2,J66-H66,"")</x:f>
      </x:c>
      <x:c r="T66" s="13" t="str">
        <x:f>IF(COUNT(I66,K66)=2,K66-I66,"")</x:f>
      </x:c>
      <x:c r="U66" s="10" t="str">
        <x:f>IF(NOT(OR(A66&lt;&gt;"",B66&lt;&gt;"",COUNT(D66:N66)&gt;0)),"",IF(OR(A66="",B66="",COUNT(D66:E66,H66:I66,L66:N66)&lt;&gt;7),"ناقص",IF(OR(MIN(D66:E66,H66:I66,L66:N66)&lt;0,Q66&lt;0),"ورودی نامعتبر",IF(R66&lt;0,"کسری",IF(R66&gt;0,"اضافه","بدون مغایرت")))))</x:f>
      </x:c>
      <x:c r="V66" s="10" t="str">
        <x:f>IF(OR(A66="",B66=""),"",IF(COUNTIFS($A$8:$A$507,A66,$B$8:$B$507,B66)&gt;1,"ثبت تکراری",""))</x:f>
      </x:c>
      <x:c r="W66" s="9"/>
    </x:row>
    <x:row r="67" ht="25" customHeight="1">
      <x:c r="A67" s="11"/>
      <x:c r="B67" s="11"/>
      <x:c r="C67" s="11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3" t="str">
        <x:f>IF(COUNT(D67:E67)=2,SUM(D67:E67),"")</x:f>
      </x:c>
      <x:c r="P67" s="13" t="str">
        <x:f>IF(COUNT(H67:I67)=2,SUM(H67:I67),"")</x:f>
      </x:c>
      <x:c r="Q67" s="13" t="str">
        <x:f>IF(AND(ISNUMBER(O67),COUNT(L67:N67)=3),O67+L67-M67-N67,"")</x:f>
      </x:c>
      <x:c r="R67" s="13" t="str">
        <x:f>IF(AND(A67&lt;&gt;"",B67&lt;&gt;"",ISNUMBER(P67),ISNUMBER(Q67)),P67-Q67,"")</x:f>
      </x:c>
      <x:c r="S67" s="13" t="str">
        <x:f>IF(COUNT(H67,J67)=2,J67-H67,"")</x:f>
      </x:c>
      <x:c r="T67" s="13" t="str">
        <x:f>IF(COUNT(I67,K67)=2,K67-I67,"")</x:f>
      </x:c>
      <x:c r="U67" s="10" t="str">
        <x:f>IF(NOT(OR(A67&lt;&gt;"",B67&lt;&gt;"",COUNT(D67:N67)&gt;0)),"",IF(OR(A67="",B67="",COUNT(D67:E67,H67:I67,L67:N67)&lt;&gt;7),"ناقص",IF(OR(MIN(D67:E67,H67:I67,L67:N67)&lt;0,Q67&lt;0),"ورودی نامعتبر",IF(R67&lt;0,"کسری",IF(R67&gt;0,"اضافه","بدون مغایرت")))))</x:f>
      </x:c>
      <x:c r="V67" s="10" t="str">
        <x:f>IF(OR(A67="",B67=""),"",IF(COUNTIFS($A$8:$A$507,A67,$B$8:$B$507,B67)&gt;1,"ثبت تکراری",""))</x:f>
      </x:c>
      <x:c r="W67" s="9"/>
    </x:row>
    <x:row r="68" ht="25" customHeight="1">
      <x:c r="A68" s="11"/>
      <x:c r="B68" s="11"/>
      <x:c r="C68" s="11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3" t="str">
        <x:f>IF(COUNT(D68:E68)=2,SUM(D68:E68),"")</x:f>
      </x:c>
      <x:c r="P68" s="13" t="str">
        <x:f>IF(COUNT(H68:I68)=2,SUM(H68:I68),"")</x:f>
      </x:c>
      <x:c r="Q68" s="13" t="str">
        <x:f>IF(AND(ISNUMBER(O68),COUNT(L68:N68)=3),O68+L68-M68-N68,"")</x:f>
      </x:c>
      <x:c r="R68" s="13" t="str">
        <x:f>IF(AND(A68&lt;&gt;"",B68&lt;&gt;"",ISNUMBER(P68),ISNUMBER(Q68)),P68-Q68,"")</x:f>
      </x:c>
      <x:c r="S68" s="13" t="str">
        <x:f>IF(COUNT(H68,J68)=2,J68-H68,"")</x:f>
      </x:c>
      <x:c r="T68" s="13" t="str">
        <x:f>IF(COUNT(I68,K68)=2,K68-I68,"")</x:f>
      </x:c>
      <x:c r="U68" s="10" t="str">
        <x:f>IF(NOT(OR(A68&lt;&gt;"",B68&lt;&gt;"",COUNT(D68:N68)&gt;0)),"",IF(OR(A68="",B68="",COUNT(D68:E68,H68:I68,L68:N68)&lt;&gt;7),"ناقص",IF(OR(MIN(D68:E68,H68:I68,L68:N68)&lt;0,Q68&lt;0),"ورودی نامعتبر",IF(R68&lt;0,"کسری",IF(R68&gt;0,"اضافه","بدون مغایرت")))))</x:f>
      </x:c>
      <x:c r="V68" s="10" t="str">
        <x:f>IF(OR(A68="",B68=""),"",IF(COUNTIFS($A$8:$A$507,A68,$B$8:$B$507,B68)&gt;1,"ثبت تکراری",""))</x:f>
      </x:c>
      <x:c r="W68" s="9"/>
    </x:row>
    <x:row r="69" ht="25" customHeight="1">
      <x:c r="A69" s="11"/>
      <x:c r="B69" s="11"/>
      <x:c r="C69" s="11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3" t="str">
        <x:f>IF(COUNT(D69:E69)=2,SUM(D69:E69),"")</x:f>
      </x:c>
      <x:c r="P69" s="13" t="str">
        <x:f>IF(COUNT(H69:I69)=2,SUM(H69:I69),"")</x:f>
      </x:c>
      <x:c r="Q69" s="13" t="str">
        <x:f>IF(AND(ISNUMBER(O69),COUNT(L69:N69)=3),O69+L69-M69-N69,"")</x:f>
      </x:c>
      <x:c r="R69" s="13" t="str">
        <x:f>IF(AND(A69&lt;&gt;"",B69&lt;&gt;"",ISNUMBER(P69),ISNUMBER(Q69)),P69-Q69,"")</x:f>
      </x:c>
      <x:c r="S69" s="13" t="str">
        <x:f>IF(COUNT(H69,J69)=2,J69-H69,"")</x:f>
      </x:c>
      <x:c r="T69" s="13" t="str">
        <x:f>IF(COUNT(I69,K69)=2,K69-I69,"")</x:f>
      </x:c>
      <x:c r="U69" s="10" t="str">
        <x:f>IF(NOT(OR(A69&lt;&gt;"",B69&lt;&gt;"",COUNT(D69:N69)&gt;0)),"",IF(OR(A69="",B69="",COUNT(D69:E69,H69:I69,L69:N69)&lt;&gt;7),"ناقص",IF(OR(MIN(D69:E69,H69:I69,L69:N69)&lt;0,Q69&lt;0),"ورودی نامعتبر",IF(R69&lt;0,"کسری",IF(R69&gt;0,"اضافه","بدون مغایرت")))))</x:f>
      </x:c>
      <x:c r="V69" s="10" t="str">
        <x:f>IF(OR(A69="",B69=""),"",IF(COUNTIFS($A$8:$A$507,A69,$B$8:$B$507,B69)&gt;1,"ثبت تکراری",""))</x:f>
      </x:c>
      <x:c r="W69" s="9"/>
    </x:row>
    <x:row r="70" ht="25" customHeight="1">
      <x:c r="A70" s="11"/>
      <x:c r="B70" s="11"/>
      <x:c r="C70" s="11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3" t="str">
        <x:f>IF(COUNT(D70:E70)=2,SUM(D70:E70),"")</x:f>
      </x:c>
      <x:c r="P70" s="13" t="str">
        <x:f>IF(COUNT(H70:I70)=2,SUM(H70:I70),"")</x:f>
      </x:c>
      <x:c r="Q70" s="13" t="str">
        <x:f>IF(AND(ISNUMBER(O70),COUNT(L70:N70)=3),O70+L70-M70-N70,"")</x:f>
      </x:c>
      <x:c r="R70" s="13" t="str">
        <x:f>IF(AND(A70&lt;&gt;"",B70&lt;&gt;"",ISNUMBER(P70),ISNUMBER(Q70)),P70-Q70,"")</x:f>
      </x:c>
      <x:c r="S70" s="13" t="str">
        <x:f>IF(COUNT(H70,J70)=2,J70-H70,"")</x:f>
      </x:c>
      <x:c r="T70" s="13" t="str">
        <x:f>IF(COUNT(I70,K70)=2,K70-I70,"")</x:f>
      </x:c>
      <x:c r="U70" s="10" t="str">
        <x:f>IF(NOT(OR(A70&lt;&gt;"",B70&lt;&gt;"",COUNT(D70:N70)&gt;0)),"",IF(OR(A70="",B70="",COUNT(D70:E70,H70:I70,L70:N70)&lt;&gt;7),"ناقص",IF(OR(MIN(D70:E70,H70:I70,L70:N70)&lt;0,Q70&lt;0),"ورودی نامعتبر",IF(R70&lt;0,"کسری",IF(R70&gt;0,"اضافه","بدون مغایرت")))))</x:f>
      </x:c>
      <x:c r="V70" s="10" t="str">
        <x:f>IF(OR(A70="",B70=""),"",IF(COUNTIFS($A$8:$A$507,A70,$B$8:$B$507,B70)&gt;1,"ثبت تکراری",""))</x:f>
      </x:c>
      <x:c r="W70" s="9"/>
    </x:row>
    <x:row r="71" ht="25" customHeight="1">
      <x:c r="A71" s="11"/>
      <x:c r="B71" s="11"/>
      <x:c r="C71" s="11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3" t="str">
        <x:f>IF(COUNT(D71:E71)=2,SUM(D71:E71),"")</x:f>
      </x:c>
      <x:c r="P71" s="13" t="str">
        <x:f>IF(COUNT(H71:I71)=2,SUM(H71:I71),"")</x:f>
      </x:c>
      <x:c r="Q71" s="13" t="str">
        <x:f>IF(AND(ISNUMBER(O71),COUNT(L71:N71)=3),O71+L71-M71-N71,"")</x:f>
      </x:c>
      <x:c r="R71" s="13" t="str">
        <x:f>IF(AND(A71&lt;&gt;"",B71&lt;&gt;"",ISNUMBER(P71),ISNUMBER(Q71)),P71-Q71,"")</x:f>
      </x:c>
      <x:c r="S71" s="13" t="str">
        <x:f>IF(COUNT(H71,J71)=2,J71-H71,"")</x:f>
      </x:c>
      <x:c r="T71" s="13" t="str">
        <x:f>IF(COUNT(I71,K71)=2,K71-I71,"")</x:f>
      </x:c>
      <x:c r="U71" s="10" t="str">
        <x:f>IF(NOT(OR(A71&lt;&gt;"",B71&lt;&gt;"",COUNT(D71:N71)&gt;0)),"",IF(OR(A71="",B71="",COUNT(D71:E71,H71:I71,L71:N71)&lt;&gt;7),"ناقص",IF(OR(MIN(D71:E71,H71:I71,L71:N71)&lt;0,Q71&lt;0),"ورودی نامعتبر",IF(R71&lt;0,"کسری",IF(R71&gt;0,"اضافه","بدون مغایرت")))))</x:f>
      </x:c>
      <x:c r="V71" s="10" t="str">
        <x:f>IF(OR(A71="",B71=""),"",IF(COUNTIFS($A$8:$A$507,A71,$B$8:$B$507,B71)&gt;1,"ثبت تکراری",""))</x:f>
      </x:c>
      <x:c r="W71" s="9"/>
    </x:row>
    <x:row r="72" ht="25" customHeight="1">
      <x:c r="A72" s="11"/>
      <x:c r="B72" s="11"/>
      <x:c r="C72" s="11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3" t="str">
        <x:f>IF(COUNT(D72:E72)=2,SUM(D72:E72),"")</x:f>
      </x:c>
      <x:c r="P72" s="13" t="str">
        <x:f>IF(COUNT(H72:I72)=2,SUM(H72:I72),"")</x:f>
      </x:c>
      <x:c r="Q72" s="13" t="str">
        <x:f>IF(AND(ISNUMBER(O72),COUNT(L72:N72)=3),O72+L72-M72-N72,"")</x:f>
      </x:c>
      <x:c r="R72" s="13" t="str">
        <x:f>IF(AND(A72&lt;&gt;"",B72&lt;&gt;"",ISNUMBER(P72),ISNUMBER(Q72)),P72-Q72,"")</x:f>
      </x:c>
      <x:c r="S72" s="13" t="str">
        <x:f>IF(COUNT(H72,J72)=2,J72-H72,"")</x:f>
      </x:c>
      <x:c r="T72" s="13" t="str">
        <x:f>IF(COUNT(I72,K72)=2,K72-I72,"")</x:f>
      </x:c>
      <x:c r="U72" s="10" t="str">
        <x:f>IF(NOT(OR(A72&lt;&gt;"",B72&lt;&gt;"",COUNT(D72:N72)&gt;0)),"",IF(OR(A72="",B72="",COUNT(D72:E72,H72:I72,L72:N72)&lt;&gt;7),"ناقص",IF(OR(MIN(D72:E72,H72:I72,L72:N72)&lt;0,Q72&lt;0),"ورودی نامعتبر",IF(R72&lt;0,"کسری",IF(R72&gt;0,"اضافه","بدون مغایرت")))))</x:f>
      </x:c>
      <x:c r="V72" s="10" t="str">
        <x:f>IF(OR(A72="",B72=""),"",IF(COUNTIFS($A$8:$A$507,A72,$B$8:$B$507,B72)&gt;1,"ثبت تکراری",""))</x:f>
      </x:c>
      <x:c r="W72" s="9"/>
    </x:row>
    <x:row r="73" ht="25" customHeight="1">
      <x:c r="A73" s="11"/>
      <x:c r="B73" s="11"/>
      <x:c r="C73" s="11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3" t="str">
        <x:f>IF(COUNT(D73:E73)=2,SUM(D73:E73),"")</x:f>
      </x:c>
      <x:c r="P73" s="13" t="str">
        <x:f>IF(COUNT(H73:I73)=2,SUM(H73:I73),"")</x:f>
      </x:c>
      <x:c r="Q73" s="13" t="str">
        <x:f>IF(AND(ISNUMBER(O73),COUNT(L73:N73)=3),O73+L73-M73-N73,"")</x:f>
      </x:c>
      <x:c r="R73" s="13" t="str">
        <x:f>IF(AND(A73&lt;&gt;"",B73&lt;&gt;"",ISNUMBER(P73),ISNUMBER(Q73)),P73-Q73,"")</x:f>
      </x:c>
      <x:c r="S73" s="13" t="str">
        <x:f>IF(COUNT(H73,J73)=2,J73-H73,"")</x:f>
      </x:c>
      <x:c r="T73" s="13" t="str">
        <x:f>IF(COUNT(I73,K73)=2,K73-I73,"")</x:f>
      </x:c>
      <x:c r="U73" s="10" t="str">
        <x:f>IF(NOT(OR(A73&lt;&gt;"",B73&lt;&gt;"",COUNT(D73:N73)&gt;0)),"",IF(OR(A73="",B73="",COUNT(D73:E73,H73:I73,L73:N73)&lt;&gt;7),"ناقص",IF(OR(MIN(D73:E73,H73:I73,L73:N73)&lt;0,Q73&lt;0),"ورودی نامعتبر",IF(R73&lt;0,"کسری",IF(R73&gt;0,"اضافه","بدون مغایرت")))))</x:f>
      </x:c>
      <x:c r="V73" s="10" t="str">
        <x:f>IF(OR(A73="",B73=""),"",IF(COUNTIFS($A$8:$A$507,A73,$B$8:$B$507,B73)&gt;1,"ثبت تکراری",""))</x:f>
      </x:c>
      <x:c r="W73" s="9"/>
    </x:row>
    <x:row r="74" ht="25" customHeight="1">
      <x:c r="A74" s="11"/>
      <x:c r="B74" s="11"/>
      <x:c r="C74" s="11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3" t="str">
        <x:f>IF(COUNT(D74:E74)=2,SUM(D74:E74),"")</x:f>
      </x:c>
      <x:c r="P74" s="13" t="str">
        <x:f>IF(COUNT(H74:I74)=2,SUM(H74:I74),"")</x:f>
      </x:c>
      <x:c r="Q74" s="13" t="str">
        <x:f>IF(AND(ISNUMBER(O74),COUNT(L74:N74)=3),O74+L74-M74-N74,"")</x:f>
      </x:c>
      <x:c r="R74" s="13" t="str">
        <x:f>IF(AND(A74&lt;&gt;"",B74&lt;&gt;"",ISNUMBER(P74),ISNUMBER(Q74)),P74-Q74,"")</x:f>
      </x:c>
      <x:c r="S74" s="13" t="str">
        <x:f>IF(COUNT(H74,J74)=2,J74-H74,"")</x:f>
      </x:c>
      <x:c r="T74" s="13" t="str">
        <x:f>IF(COUNT(I74,K74)=2,K74-I74,"")</x:f>
      </x:c>
      <x:c r="U74" s="10" t="str">
        <x:f>IF(NOT(OR(A74&lt;&gt;"",B74&lt;&gt;"",COUNT(D74:N74)&gt;0)),"",IF(OR(A74="",B74="",COUNT(D74:E74,H74:I74,L74:N74)&lt;&gt;7),"ناقص",IF(OR(MIN(D74:E74,H74:I74,L74:N74)&lt;0,Q74&lt;0),"ورودی نامعتبر",IF(R74&lt;0,"کسری",IF(R74&gt;0,"اضافه","بدون مغایرت")))))</x:f>
      </x:c>
      <x:c r="V74" s="10" t="str">
        <x:f>IF(OR(A74="",B74=""),"",IF(COUNTIFS($A$8:$A$507,A74,$B$8:$B$507,B74)&gt;1,"ثبت تکراری",""))</x:f>
      </x:c>
      <x:c r="W74" s="9"/>
    </x:row>
    <x:row r="75" ht="25" customHeight="1">
      <x:c r="A75" s="11"/>
      <x:c r="B75" s="11"/>
      <x:c r="C75" s="11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3" t="str">
        <x:f>IF(COUNT(D75:E75)=2,SUM(D75:E75),"")</x:f>
      </x:c>
      <x:c r="P75" s="13" t="str">
        <x:f>IF(COUNT(H75:I75)=2,SUM(H75:I75),"")</x:f>
      </x:c>
      <x:c r="Q75" s="13" t="str">
        <x:f>IF(AND(ISNUMBER(O75),COUNT(L75:N75)=3),O75+L75-M75-N75,"")</x:f>
      </x:c>
      <x:c r="R75" s="13" t="str">
        <x:f>IF(AND(A75&lt;&gt;"",B75&lt;&gt;"",ISNUMBER(P75),ISNUMBER(Q75)),P75-Q75,"")</x:f>
      </x:c>
      <x:c r="S75" s="13" t="str">
        <x:f>IF(COUNT(H75,J75)=2,J75-H75,"")</x:f>
      </x:c>
      <x:c r="T75" s="13" t="str">
        <x:f>IF(COUNT(I75,K75)=2,K75-I75,"")</x:f>
      </x:c>
      <x:c r="U75" s="10" t="str">
        <x:f>IF(NOT(OR(A75&lt;&gt;"",B75&lt;&gt;"",COUNT(D75:N75)&gt;0)),"",IF(OR(A75="",B75="",COUNT(D75:E75,H75:I75,L75:N75)&lt;&gt;7),"ناقص",IF(OR(MIN(D75:E75,H75:I75,L75:N75)&lt;0,Q75&lt;0),"ورودی نامعتبر",IF(R75&lt;0,"کسری",IF(R75&gt;0,"اضافه","بدون مغایرت")))))</x:f>
      </x:c>
      <x:c r="V75" s="10" t="str">
        <x:f>IF(OR(A75="",B75=""),"",IF(COUNTIFS($A$8:$A$507,A75,$B$8:$B$507,B75)&gt;1,"ثبت تکراری",""))</x:f>
      </x:c>
      <x:c r="W75" s="9"/>
    </x:row>
    <x:row r="76" ht="25" customHeight="1">
      <x:c r="A76" s="11"/>
      <x:c r="B76" s="11"/>
      <x:c r="C76" s="11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3" t="str">
        <x:f>IF(COUNT(D76:E76)=2,SUM(D76:E76),"")</x:f>
      </x:c>
      <x:c r="P76" s="13" t="str">
        <x:f>IF(COUNT(H76:I76)=2,SUM(H76:I76),"")</x:f>
      </x:c>
      <x:c r="Q76" s="13" t="str">
        <x:f>IF(AND(ISNUMBER(O76),COUNT(L76:N76)=3),O76+L76-M76-N76,"")</x:f>
      </x:c>
      <x:c r="R76" s="13" t="str">
        <x:f>IF(AND(A76&lt;&gt;"",B76&lt;&gt;"",ISNUMBER(P76),ISNUMBER(Q76)),P76-Q76,"")</x:f>
      </x:c>
      <x:c r="S76" s="13" t="str">
        <x:f>IF(COUNT(H76,J76)=2,J76-H76,"")</x:f>
      </x:c>
      <x:c r="T76" s="13" t="str">
        <x:f>IF(COUNT(I76,K76)=2,K76-I76,"")</x:f>
      </x:c>
      <x:c r="U76" s="10" t="str">
        <x:f>IF(NOT(OR(A76&lt;&gt;"",B76&lt;&gt;"",COUNT(D76:N76)&gt;0)),"",IF(OR(A76="",B76="",COUNT(D76:E76,H76:I76,L76:N76)&lt;&gt;7),"ناقص",IF(OR(MIN(D76:E76,H76:I76,L76:N76)&lt;0,Q76&lt;0),"ورودی نامعتبر",IF(R76&lt;0,"کسری",IF(R76&gt;0,"اضافه","بدون مغایرت")))))</x:f>
      </x:c>
      <x:c r="V76" s="10" t="str">
        <x:f>IF(OR(A76="",B76=""),"",IF(COUNTIFS($A$8:$A$507,A76,$B$8:$B$507,B76)&gt;1,"ثبت تکراری",""))</x:f>
      </x:c>
      <x:c r="W76" s="9"/>
    </x:row>
    <x:row r="77" ht="25" customHeight="1">
      <x:c r="A77" s="11"/>
      <x:c r="B77" s="11"/>
      <x:c r="C77" s="11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3" t="str">
        <x:f>IF(COUNT(D77:E77)=2,SUM(D77:E77),"")</x:f>
      </x:c>
      <x:c r="P77" s="13" t="str">
        <x:f>IF(COUNT(H77:I77)=2,SUM(H77:I77),"")</x:f>
      </x:c>
      <x:c r="Q77" s="13" t="str">
        <x:f>IF(AND(ISNUMBER(O77),COUNT(L77:N77)=3),O77+L77-M77-N77,"")</x:f>
      </x:c>
      <x:c r="R77" s="13" t="str">
        <x:f>IF(AND(A77&lt;&gt;"",B77&lt;&gt;"",ISNUMBER(P77),ISNUMBER(Q77)),P77-Q77,"")</x:f>
      </x:c>
      <x:c r="S77" s="13" t="str">
        <x:f>IF(COUNT(H77,J77)=2,J77-H77,"")</x:f>
      </x:c>
      <x:c r="T77" s="13" t="str">
        <x:f>IF(COUNT(I77,K77)=2,K77-I77,"")</x:f>
      </x:c>
      <x:c r="U77" s="10" t="str">
        <x:f>IF(NOT(OR(A77&lt;&gt;"",B77&lt;&gt;"",COUNT(D77:N77)&gt;0)),"",IF(OR(A77="",B77="",COUNT(D77:E77,H77:I77,L77:N77)&lt;&gt;7),"ناقص",IF(OR(MIN(D77:E77,H77:I77,L77:N77)&lt;0,Q77&lt;0),"ورودی نامعتبر",IF(R77&lt;0,"کسری",IF(R77&gt;0,"اضافه","بدون مغایرت")))))</x:f>
      </x:c>
      <x:c r="V77" s="10" t="str">
        <x:f>IF(OR(A77="",B77=""),"",IF(COUNTIFS($A$8:$A$507,A77,$B$8:$B$507,B77)&gt;1,"ثبت تکراری",""))</x:f>
      </x:c>
      <x:c r="W77" s="9"/>
    </x:row>
    <x:row r="78" ht="25" customHeight="1">
      <x:c r="A78" s="11"/>
      <x:c r="B78" s="11"/>
      <x:c r="C78" s="11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3" t="str">
        <x:f>IF(COUNT(D78:E78)=2,SUM(D78:E78),"")</x:f>
      </x:c>
      <x:c r="P78" s="13" t="str">
        <x:f>IF(COUNT(H78:I78)=2,SUM(H78:I78),"")</x:f>
      </x:c>
      <x:c r="Q78" s="13" t="str">
        <x:f>IF(AND(ISNUMBER(O78),COUNT(L78:N78)=3),O78+L78-M78-N78,"")</x:f>
      </x:c>
      <x:c r="R78" s="13" t="str">
        <x:f>IF(AND(A78&lt;&gt;"",B78&lt;&gt;"",ISNUMBER(P78),ISNUMBER(Q78)),P78-Q78,"")</x:f>
      </x:c>
      <x:c r="S78" s="13" t="str">
        <x:f>IF(COUNT(H78,J78)=2,J78-H78,"")</x:f>
      </x:c>
      <x:c r="T78" s="13" t="str">
        <x:f>IF(COUNT(I78,K78)=2,K78-I78,"")</x:f>
      </x:c>
      <x:c r="U78" s="10" t="str">
        <x:f>IF(NOT(OR(A78&lt;&gt;"",B78&lt;&gt;"",COUNT(D78:N78)&gt;0)),"",IF(OR(A78="",B78="",COUNT(D78:E78,H78:I78,L78:N78)&lt;&gt;7),"ناقص",IF(OR(MIN(D78:E78,H78:I78,L78:N78)&lt;0,Q78&lt;0),"ورودی نامعتبر",IF(R78&lt;0,"کسری",IF(R78&gt;0,"اضافه","بدون مغایرت")))))</x:f>
      </x:c>
      <x:c r="V78" s="10" t="str">
        <x:f>IF(OR(A78="",B78=""),"",IF(COUNTIFS($A$8:$A$507,A78,$B$8:$B$507,B78)&gt;1,"ثبت تکراری",""))</x:f>
      </x:c>
      <x:c r="W78" s="9"/>
    </x:row>
    <x:row r="79" ht="25" customHeight="1">
      <x:c r="A79" s="11"/>
      <x:c r="B79" s="11"/>
      <x:c r="C79" s="11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3" t="str">
        <x:f>IF(COUNT(D79:E79)=2,SUM(D79:E79),"")</x:f>
      </x:c>
      <x:c r="P79" s="13" t="str">
        <x:f>IF(COUNT(H79:I79)=2,SUM(H79:I79),"")</x:f>
      </x:c>
      <x:c r="Q79" s="13" t="str">
        <x:f>IF(AND(ISNUMBER(O79),COUNT(L79:N79)=3),O79+L79-M79-N79,"")</x:f>
      </x:c>
      <x:c r="R79" s="13" t="str">
        <x:f>IF(AND(A79&lt;&gt;"",B79&lt;&gt;"",ISNUMBER(P79),ISNUMBER(Q79)),P79-Q79,"")</x:f>
      </x:c>
      <x:c r="S79" s="13" t="str">
        <x:f>IF(COUNT(H79,J79)=2,J79-H79,"")</x:f>
      </x:c>
      <x:c r="T79" s="13" t="str">
        <x:f>IF(COUNT(I79,K79)=2,K79-I79,"")</x:f>
      </x:c>
      <x:c r="U79" s="10" t="str">
        <x:f>IF(NOT(OR(A79&lt;&gt;"",B79&lt;&gt;"",COUNT(D79:N79)&gt;0)),"",IF(OR(A79="",B79="",COUNT(D79:E79,H79:I79,L79:N79)&lt;&gt;7),"ناقص",IF(OR(MIN(D79:E79,H79:I79,L79:N79)&lt;0,Q79&lt;0),"ورودی نامعتبر",IF(R79&lt;0,"کسری",IF(R79&gt;0,"اضافه","بدون مغایرت")))))</x:f>
      </x:c>
      <x:c r="V79" s="10" t="str">
        <x:f>IF(OR(A79="",B79=""),"",IF(COUNTIFS($A$8:$A$507,A79,$B$8:$B$507,B79)&gt;1,"ثبت تکراری",""))</x:f>
      </x:c>
      <x:c r="W79" s="9"/>
    </x:row>
    <x:row r="80" ht="25" customHeight="1">
      <x:c r="A80" s="11"/>
      <x:c r="B80" s="11"/>
      <x:c r="C80" s="11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3" t="str">
        <x:f>IF(COUNT(D80:E80)=2,SUM(D80:E80),"")</x:f>
      </x:c>
      <x:c r="P80" s="13" t="str">
        <x:f>IF(COUNT(H80:I80)=2,SUM(H80:I80),"")</x:f>
      </x:c>
      <x:c r="Q80" s="13" t="str">
        <x:f>IF(AND(ISNUMBER(O80),COUNT(L80:N80)=3),O80+L80-M80-N80,"")</x:f>
      </x:c>
      <x:c r="R80" s="13" t="str">
        <x:f>IF(AND(A80&lt;&gt;"",B80&lt;&gt;"",ISNUMBER(P80),ISNUMBER(Q80)),P80-Q80,"")</x:f>
      </x:c>
      <x:c r="S80" s="13" t="str">
        <x:f>IF(COUNT(H80,J80)=2,J80-H80,"")</x:f>
      </x:c>
      <x:c r="T80" s="13" t="str">
        <x:f>IF(COUNT(I80,K80)=2,K80-I80,"")</x:f>
      </x:c>
      <x:c r="U80" s="10" t="str">
        <x:f>IF(NOT(OR(A80&lt;&gt;"",B80&lt;&gt;"",COUNT(D80:N80)&gt;0)),"",IF(OR(A80="",B80="",COUNT(D80:E80,H80:I80,L80:N80)&lt;&gt;7),"ناقص",IF(OR(MIN(D80:E80,H80:I80,L80:N80)&lt;0,Q80&lt;0),"ورودی نامعتبر",IF(R80&lt;0,"کسری",IF(R80&gt;0,"اضافه","بدون مغایرت")))))</x:f>
      </x:c>
      <x:c r="V80" s="10" t="str">
        <x:f>IF(OR(A80="",B80=""),"",IF(COUNTIFS($A$8:$A$507,A80,$B$8:$B$507,B80)&gt;1,"ثبت تکراری",""))</x:f>
      </x:c>
      <x:c r="W80" s="9"/>
    </x:row>
    <x:row r="81" ht="25" customHeight="1">
      <x:c r="A81" s="11"/>
      <x:c r="B81" s="11"/>
      <x:c r="C81" s="11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3" t="str">
        <x:f>IF(COUNT(D81:E81)=2,SUM(D81:E81),"")</x:f>
      </x:c>
      <x:c r="P81" s="13" t="str">
        <x:f>IF(COUNT(H81:I81)=2,SUM(H81:I81),"")</x:f>
      </x:c>
      <x:c r="Q81" s="13" t="str">
        <x:f>IF(AND(ISNUMBER(O81),COUNT(L81:N81)=3),O81+L81-M81-N81,"")</x:f>
      </x:c>
      <x:c r="R81" s="13" t="str">
        <x:f>IF(AND(A81&lt;&gt;"",B81&lt;&gt;"",ISNUMBER(P81),ISNUMBER(Q81)),P81-Q81,"")</x:f>
      </x:c>
      <x:c r="S81" s="13" t="str">
        <x:f>IF(COUNT(H81,J81)=2,J81-H81,"")</x:f>
      </x:c>
      <x:c r="T81" s="13" t="str">
        <x:f>IF(COUNT(I81,K81)=2,K81-I81,"")</x:f>
      </x:c>
      <x:c r="U81" s="10" t="str">
        <x:f>IF(NOT(OR(A81&lt;&gt;"",B81&lt;&gt;"",COUNT(D81:N81)&gt;0)),"",IF(OR(A81="",B81="",COUNT(D81:E81,H81:I81,L81:N81)&lt;&gt;7),"ناقص",IF(OR(MIN(D81:E81,H81:I81,L81:N81)&lt;0,Q81&lt;0),"ورودی نامعتبر",IF(R81&lt;0,"کسری",IF(R81&gt;0,"اضافه","بدون مغایرت")))))</x:f>
      </x:c>
      <x:c r="V81" s="10" t="str">
        <x:f>IF(OR(A81="",B81=""),"",IF(COUNTIFS($A$8:$A$507,A81,$B$8:$B$507,B81)&gt;1,"ثبت تکراری",""))</x:f>
      </x:c>
      <x:c r="W81" s="9"/>
    </x:row>
    <x:row r="82" ht="25" customHeight="1">
      <x:c r="A82" s="11"/>
      <x:c r="B82" s="11"/>
      <x:c r="C82" s="11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3" t="str">
        <x:f>IF(COUNT(D82:E82)=2,SUM(D82:E82),"")</x:f>
      </x:c>
      <x:c r="P82" s="13" t="str">
        <x:f>IF(COUNT(H82:I82)=2,SUM(H82:I82),"")</x:f>
      </x:c>
      <x:c r="Q82" s="13" t="str">
        <x:f>IF(AND(ISNUMBER(O82),COUNT(L82:N82)=3),O82+L82-M82-N82,"")</x:f>
      </x:c>
      <x:c r="R82" s="13" t="str">
        <x:f>IF(AND(A82&lt;&gt;"",B82&lt;&gt;"",ISNUMBER(P82),ISNUMBER(Q82)),P82-Q82,"")</x:f>
      </x:c>
      <x:c r="S82" s="13" t="str">
        <x:f>IF(COUNT(H82,J82)=2,J82-H82,"")</x:f>
      </x:c>
      <x:c r="T82" s="13" t="str">
        <x:f>IF(COUNT(I82,K82)=2,K82-I82,"")</x:f>
      </x:c>
      <x:c r="U82" s="10" t="str">
        <x:f>IF(NOT(OR(A82&lt;&gt;"",B82&lt;&gt;"",COUNT(D82:N82)&gt;0)),"",IF(OR(A82="",B82="",COUNT(D82:E82,H82:I82,L82:N82)&lt;&gt;7),"ناقص",IF(OR(MIN(D82:E82,H82:I82,L82:N82)&lt;0,Q82&lt;0),"ورودی نامعتبر",IF(R82&lt;0,"کسری",IF(R82&gt;0,"اضافه","بدون مغایرت")))))</x:f>
      </x:c>
      <x:c r="V82" s="10" t="str">
        <x:f>IF(OR(A82="",B82=""),"",IF(COUNTIFS($A$8:$A$507,A82,$B$8:$B$507,B82)&gt;1,"ثبت تکراری",""))</x:f>
      </x:c>
      <x:c r="W82" s="9"/>
    </x:row>
    <x:row r="83" ht="25" customHeight="1">
      <x:c r="A83" s="11"/>
      <x:c r="B83" s="11"/>
      <x:c r="C83" s="11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3" t="str">
        <x:f>IF(COUNT(D83:E83)=2,SUM(D83:E83),"")</x:f>
      </x:c>
      <x:c r="P83" s="13" t="str">
        <x:f>IF(COUNT(H83:I83)=2,SUM(H83:I83),"")</x:f>
      </x:c>
      <x:c r="Q83" s="13" t="str">
        <x:f>IF(AND(ISNUMBER(O83),COUNT(L83:N83)=3),O83+L83-M83-N83,"")</x:f>
      </x:c>
      <x:c r="R83" s="13" t="str">
        <x:f>IF(AND(A83&lt;&gt;"",B83&lt;&gt;"",ISNUMBER(P83),ISNUMBER(Q83)),P83-Q83,"")</x:f>
      </x:c>
      <x:c r="S83" s="13" t="str">
        <x:f>IF(COUNT(H83,J83)=2,J83-H83,"")</x:f>
      </x:c>
      <x:c r="T83" s="13" t="str">
        <x:f>IF(COUNT(I83,K83)=2,K83-I83,"")</x:f>
      </x:c>
      <x:c r="U83" s="10" t="str">
        <x:f>IF(NOT(OR(A83&lt;&gt;"",B83&lt;&gt;"",COUNT(D83:N83)&gt;0)),"",IF(OR(A83="",B83="",COUNT(D83:E83,H83:I83,L83:N83)&lt;&gt;7),"ناقص",IF(OR(MIN(D83:E83,H83:I83,L83:N83)&lt;0,Q83&lt;0),"ورودی نامعتبر",IF(R83&lt;0,"کسری",IF(R83&gt;0,"اضافه","بدون مغایرت")))))</x:f>
      </x:c>
      <x:c r="V83" s="10" t="str">
        <x:f>IF(OR(A83="",B83=""),"",IF(COUNTIFS($A$8:$A$507,A83,$B$8:$B$507,B83)&gt;1,"ثبت تکراری",""))</x:f>
      </x:c>
      <x:c r="W83" s="9"/>
    </x:row>
    <x:row r="84" ht="25" customHeight="1">
      <x:c r="A84" s="11"/>
      <x:c r="B84" s="11"/>
      <x:c r="C84" s="11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3" t="str">
        <x:f>IF(COUNT(D84:E84)=2,SUM(D84:E84),"")</x:f>
      </x:c>
      <x:c r="P84" s="13" t="str">
        <x:f>IF(COUNT(H84:I84)=2,SUM(H84:I84),"")</x:f>
      </x:c>
      <x:c r="Q84" s="13" t="str">
        <x:f>IF(AND(ISNUMBER(O84),COUNT(L84:N84)=3),O84+L84-M84-N84,"")</x:f>
      </x:c>
      <x:c r="R84" s="13" t="str">
        <x:f>IF(AND(A84&lt;&gt;"",B84&lt;&gt;"",ISNUMBER(P84),ISNUMBER(Q84)),P84-Q84,"")</x:f>
      </x:c>
      <x:c r="S84" s="13" t="str">
        <x:f>IF(COUNT(H84,J84)=2,J84-H84,"")</x:f>
      </x:c>
      <x:c r="T84" s="13" t="str">
        <x:f>IF(COUNT(I84,K84)=2,K84-I84,"")</x:f>
      </x:c>
      <x:c r="U84" s="10" t="str">
        <x:f>IF(NOT(OR(A84&lt;&gt;"",B84&lt;&gt;"",COUNT(D84:N84)&gt;0)),"",IF(OR(A84="",B84="",COUNT(D84:E84,H84:I84,L84:N84)&lt;&gt;7),"ناقص",IF(OR(MIN(D84:E84,H84:I84,L84:N84)&lt;0,Q84&lt;0),"ورودی نامعتبر",IF(R84&lt;0,"کسری",IF(R84&gt;0,"اضافه","بدون مغایرت")))))</x:f>
      </x:c>
      <x:c r="V84" s="10" t="str">
        <x:f>IF(OR(A84="",B84=""),"",IF(COUNTIFS($A$8:$A$507,A84,$B$8:$B$507,B84)&gt;1,"ثبت تکراری",""))</x:f>
      </x:c>
      <x:c r="W84" s="9"/>
    </x:row>
    <x:row r="85" ht="25" customHeight="1">
      <x:c r="A85" s="11"/>
      <x:c r="B85" s="11"/>
      <x:c r="C85" s="11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3" t="str">
        <x:f>IF(COUNT(D85:E85)=2,SUM(D85:E85),"")</x:f>
      </x:c>
      <x:c r="P85" s="13" t="str">
        <x:f>IF(COUNT(H85:I85)=2,SUM(H85:I85),"")</x:f>
      </x:c>
      <x:c r="Q85" s="13" t="str">
        <x:f>IF(AND(ISNUMBER(O85),COUNT(L85:N85)=3),O85+L85-M85-N85,"")</x:f>
      </x:c>
      <x:c r="R85" s="13" t="str">
        <x:f>IF(AND(A85&lt;&gt;"",B85&lt;&gt;"",ISNUMBER(P85),ISNUMBER(Q85)),P85-Q85,"")</x:f>
      </x:c>
      <x:c r="S85" s="13" t="str">
        <x:f>IF(COUNT(H85,J85)=2,J85-H85,"")</x:f>
      </x:c>
      <x:c r="T85" s="13" t="str">
        <x:f>IF(COUNT(I85,K85)=2,K85-I85,"")</x:f>
      </x:c>
      <x:c r="U85" s="10" t="str">
        <x:f>IF(NOT(OR(A85&lt;&gt;"",B85&lt;&gt;"",COUNT(D85:N85)&gt;0)),"",IF(OR(A85="",B85="",COUNT(D85:E85,H85:I85,L85:N85)&lt;&gt;7),"ناقص",IF(OR(MIN(D85:E85,H85:I85,L85:N85)&lt;0,Q85&lt;0),"ورودی نامعتبر",IF(R85&lt;0,"کسری",IF(R85&gt;0,"اضافه","بدون مغایرت")))))</x:f>
      </x:c>
      <x:c r="V85" s="10" t="str">
        <x:f>IF(OR(A85="",B85=""),"",IF(COUNTIFS($A$8:$A$507,A85,$B$8:$B$507,B85)&gt;1,"ثبت تکراری",""))</x:f>
      </x:c>
      <x:c r="W85" s="9"/>
    </x:row>
    <x:row r="86" ht="25" customHeight="1">
      <x:c r="A86" s="11"/>
      <x:c r="B86" s="11"/>
      <x:c r="C86" s="11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3" t="str">
        <x:f>IF(COUNT(D86:E86)=2,SUM(D86:E86),"")</x:f>
      </x:c>
      <x:c r="P86" s="13" t="str">
        <x:f>IF(COUNT(H86:I86)=2,SUM(H86:I86),"")</x:f>
      </x:c>
      <x:c r="Q86" s="13" t="str">
        <x:f>IF(AND(ISNUMBER(O86),COUNT(L86:N86)=3),O86+L86-M86-N86,"")</x:f>
      </x:c>
      <x:c r="R86" s="13" t="str">
        <x:f>IF(AND(A86&lt;&gt;"",B86&lt;&gt;"",ISNUMBER(P86),ISNUMBER(Q86)),P86-Q86,"")</x:f>
      </x:c>
      <x:c r="S86" s="13" t="str">
        <x:f>IF(COUNT(H86,J86)=2,J86-H86,"")</x:f>
      </x:c>
      <x:c r="T86" s="13" t="str">
        <x:f>IF(COUNT(I86,K86)=2,K86-I86,"")</x:f>
      </x:c>
      <x:c r="U86" s="10" t="str">
        <x:f>IF(NOT(OR(A86&lt;&gt;"",B86&lt;&gt;"",COUNT(D86:N86)&gt;0)),"",IF(OR(A86="",B86="",COUNT(D86:E86,H86:I86,L86:N86)&lt;&gt;7),"ناقص",IF(OR(MIN(D86:E86,H86:I86,L86:N86)&lt;0,Q86&lt;0),"ورودی نامعتبر",IF(R86&lt;0,"کسری",IF(R86&gt;0,"اضافه","بدون مغایرت")))))</x:f>
      </x:c>
      <x:c r="V86" s="10" t="str">
        <x:f>IF(OR(A86="",B86=""),"",IF(COUNTIFS($A$8:$A$507,A86,$B$8:$B$507,B86)&gt;1,"ثبت تکراری",""))</x:f>
      </x:c>
      <x:c r="W86" s="9"/>
    </x:row>
    <x:row r="87" ht="25" customHeight="1">
      <x:c r="A87" s="11"/>
      <x:c r="B87" s="11"/>
      <x:c r="C87" s="11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3" t="str">
        <x:f>IF(COUNT(D87:E87)=2,SUM(D87:E87),"")</x:f>
      </x:c>
      <x:c r="P87" s="13" t="str">
        <x:f>IF(COUNT(H87:I87)=2,SUM(H87:I87),"")</x:f>
      </x:c>
      <x:c r="Q87" s="13" t="str">
        <x:f>IF(AND(ISNUMBER(O87),COUNT(L87:N87)=3),O87+L87-M87-N87,"")</x:f>
      </x:c>
      <x:c r="R87" s="13" t="str">
        <x:f>IF(AND(A87&lt;&gt;"",B87&lt;&gt;"",ISNUMBER(P87),ISNUMBER(Q87)),P87-Q87,"")</x:f>
      </x:c>
      <x:c r="S87" s="13" t="str">
        <x:f>IF(COUNT(H87,J87)=2,J87-H87,"")</x:f>
      </x:c>
      <x:c r="T87" s="13" t="str">
        <x:f>IF(COUNT(I87,K87)=2,K87-I87,"")</x:f>
      </x:c>
      <x:c r="U87" s="10" t="str">
        <x:f>IF(NOT(OR(A87&lt;&gt;"",B87&lt;&gt;"",COUNT(D87:N87)&gt;0)),"",IF(OR(A87="",B87="",COUNT(D87:E87,H87:I87,L87:N87)&lt;&gt;7),"ناقص",IF(OR(MIN(D87:E87,H87:I87,L87:N87)&lt;0,Q87&lt;0),"ورودی نامعتبر",IF(R87&lt;0,"کسری",IF(R87&gt;0,"اضافه","بدون مغایرت")))))</x:f>
      </x:c>
      <x:c r="V87" s="10" t="str">
        <x:f>IF(OR(A87="",B87=""),"",IF(COUNTIFS($A$8:$A$507,A87,$B$8:$B$507,B87)&gt;1,"ثبت تکراری",""))</x:f>
      </x:c>
      <x:c r="W87" s="9"/>
    </x:row>
    <x:row r="88" ht="25" customHeight="1">
      <x:c r="A88" s="11"/>
      <x:c r="B88" s="11"/>
      <x:c r="C88" s="11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3" t="str">
        <x:f>IF(COUNT(D88:E88)=2,SUM(D88:E88),"")</x:f>
      </x:c>
      <x:c r="P88" s="13" t="str">
        <x:f>IF(COUNT(H88:I88)=2,SUM(H88:I88),"")</x:f>
      </x:c>
      <x:c r="Q88" s="13" t="str">
        <x:f>IF(AND(ISNUMBER(O88),COUNT(L88:N88)=3),O88+L88-M88-N88,"")</x:f>
      </x:c>
      <x:c r="R88" s="13" t="str">
        <x:f>IF(AND(A88&lt;&gt;"",B88&lt;&gt;"",ISNUMBER(P88),ISNUMBER(Q88)),P88-Q88,"")</x:f>
      </x:c>
      <x:c r="S88" s="13" t="str">
        <x:f>IF(COUNT(H88,J88)=2,J88-H88,"")</x:f>
      </x:c>
      <x:c r="T88" s="13" t="str">
        <x:f>IF(COUNT(I88,K88)=2,K88-I88,"")</x:f>
      </x:c>
      <x:c r="U88" s="10" t="str">
        <x:f>IF(NOT(OR(A88&lt;&gt;"",B88&lt;&gt;"",COUNT(D88:N88)&gt;0)),"",IF(OR(A88="",B88="",COUNT(D88:E88,H88:I88,L88:N88)&lt;&gt;7),"ناقص",IF(OR(MIN(D88:E88,H88:I88,L88:N88)&lt;0,Q88&lt;0),"ورودی نامعتبر",IF(R88&lt;0,"کسری",IF(R88&gt;0,"اضافه","بدون مغایرت")))))</x:f>
      </x:c>
      <x:c r="V88" s="10" t="str">
        <x:f>IF(OR(A88="",B88=""),"",IF(COUNTIFS($A$8:$A$507,A88,$B$8:$B$507,B88)&gt;1,"ثبت تکراری",""))</x:f>
      </x:c>
      <x:c r="W88" s="9"/>
    </x:row>
    <x:row r="89" ht="25" customHeight="1">
      <x:c r="A89" s="11"/>
      <x:c r="B89" s="11"/>
      <x:c r="C89" s="11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3" t="str">
        <x:f>IF(COUNT(D89:E89)=2,SUM(D89:E89),"")</x:f>
      </x:c>
      <x:c r="P89" s="13" t="str">
        <x:f>IF(COUNT(H89:I89)=2,SUM(H89:I89),"")</x:f>
      </x:c>
      <x:c r="Q89" s="13" t="str">
        <x:f>IF(AND(ISNUMBER(O89),COUNT(L89:N89)=3),O89+L89-M89-N89,"")</x:f>
      </x:c>
      <x:c r="R89" s="13" t="str">
        <x:f>IF(AND(A89&lt;&gt;"",B89&lt;&gt;"",ISNUMBER(P89),ISNUMBER(Q89)),P89-Q89,"")</x:f>
      </x:c>
      <x:c r="S89" s="13" t="str">
        <x:f>IF(COUNT(H89,J89)=2,J89-H89,"")</x:f>
      </x:c>
      <x:c r="T89" s="13" t="str">
        <x:f>IF(COUNT(I89,K89)=2,K89-I89,"")</x:f>
      </x:c>
      <x:c r="U89" s="10" t="str">
        <x:f>IF(NOT(OR(A89&lt;&gt;"",B89&lt;&gt;"",COUNT(D89:N89)&gt;0)),"",IF(OR(A89="",B89="",COUNT(D89:E89,H89:I89,L89:N89)&lt;&gt;7),"ناقص",IF(OR(MIN(D89:E89,H89:I89,L89:N89)&lt;0,Q89&lt;0),"ورودی نامعتبر",IF(R89&lt;0,"کسری",IF(R89&gt;0,"اضافه","بدون مغایرت")))))</x:f>
      </x:c>
      <x:c r="V89" s="10" t="str">
        <x:f>IF(OR(A89="",B89=""),"",IF(COUNTIFS($A$8:$A$507,A89,$B$8:$B$507,B89)&gt;1,"ثبت تکراری",""))</x:f>
      </x:c>
      <x:c r="W89" s="9"/>
    </x:row>
    <x:row r="90" ht="25" customHeight="1">
      <x:c r="A90" s="11"/>
      <x:c r="B90" s="11"/>
      <x:c r="C90" s="11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3" t="str">
        <x:f>IF(COUNT(D90:E90)=2,SUM(D90:E90),"")</x:f>
      </x:c>
      <x:c r="P90" s="13" t="str">
        <x:f>IF(COUNT(H90:I90)=2,SUM(H90:I90),"")</x:f>
      </x:c>
      <x:c r="Q90" s="13" t="str">
        <x:f>IF(AND(ISNUMBER(O90),COUNT(L90:N90)=3),O90+L90-M90-N90,"")</x:f>
      </x:c>
      <x:c r="R90" s="13" t="str">
        <x:f>IF(AND(A90&lt;&gt;"",B90&lt;&gt;"",ISNUMBER(P90),ISNUMBER(Q90)),P90-Q90,"")</x:f>
      </x:c>
      <x:c r="S90" s="13" t="str">
        <x:f>IF(COUNT(H90,J90)=2,J90-H90,"")</x:f>
      </x:c>
      <x:c r="T90" s="13" t="str">
        <x:f>IF(COUNT(I90,K90)=2,K90-I90,"")</x:f>
      </x:c>
      <x:c r="U90" s="10" t="str">
        <x:f>IF(NOT(OR(A90&lt;&gt;"",B90&lt;&gt;"",COUNT(D90:N90)&gt;0)),"",IF(OR(A90="",B90="",COUNT(D90:E90,H90:I90,L90:N90)&lt;&gt;7),"ناقص",IF(OR(MIN(D90:E90,H90:I90,L90:N90)&lt;0,Q90&lt;0),"ورودی نامعتبر",IF(R90&lt;0,"کسری",IF(R90&gt;0,"اضافه","بدون مغایرت")))))</x:f>
      </x:c>
      <x:c r="V90" s="10" t="str">
        <x:f>IF(OR(A90="",B90=""),"",IF(COUNTIFS($A$8:$A$507,A90,$B$8:$B$507,B90)&gt;1,"ثبت تکراری",""))</x:f>
      </x:c>
      <x:c r="W90" s="9"/>
    </x:row>
    <x:row r="91" ht="25" customHeight="1">
      <x:c r="A91" s="11"/>
      <x:c r="B91" s="11"/>
      <x:c r="C91" s="11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3" t="str">
        <x:f>IF(COUNT(D91:E91)=2,SUM(D91:E91),"")</x:f>
      </x:c>
      <x:c r="P91" s="13" t="str">
        <x:f>IF(COUNT(H91:I91)=2,SUM(H91:I91),"")</x:f>
      </x:c>
      <x:c r="Q91" s="13" t="str">
        <x:f>IF(AND(ISNUMBER(O91),COUNT(L91:N91)=3),O91+L91-M91-N91,"")</x:f>
      </x:c>
      <x:c r="R91" s="13" t="str">
        <x:f>IF(AND(A91&lt;&gt;"",B91&lt;&gt;"",ISNUMBER(P91),ISNUMBER(Q91)),P91-Q91,"")</x:f>
      </x:c>
      <x:c r="S91" s="13" t="str">
        <x:f>IF(COUNT(H91,J91)=2,J91-H91,"")</x:f>
      </x:c>
      <x:c r="T91" s="13" t="str">
        <x:f>IF(COUNT(I91,K91)=2,K91-I91,"")</x:f>
      </x:c>
      <x:c r="U91" s="10" t="str">
        <x:f>IF(NOT(OR(A91&lt;&gt;"",B91&lt;&gt;"",COUNT(D91:N91)&gt;0)),"",IF(OR(A91="",B91="",COUNT(D91:E91,H91:I91,L91:N91)&lt;&gt;7),"ناقص",IF(OR(MIN(D91:E91,H91:I91,L91:N91)&lt;0,Q91&lt;0),"ورودی نامعتبر",IF(R91&lt;0,"کسری",IF(R91&gt;0,"اضافه","بدون مغایرت")))))</x:f>
      </x:c>
      <x:c r="V91" s="10" t="str">
        <x:f>IF(OR(A91="",B91=""),"",IF(COUNTIFS($A$8:$A$507,A91,$B$8:$B$507,B91)&gt;1,"ثبت تکراری",""))</x:f>
      </x:c>
      <x:c r="W91" s="9"/>
    </x:row>
    <x:row r="92" ht="25" customHeight="1">
      <x:c r="A92" s="11"/>
      <x:c r="B92" s="11"/>
      <x:c r="C92" s="11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3" t="str">
        <x:f>IF(COUNT(D92:E92)=2,SUM(D92:E92),"")</x:f>
      </x:c>
      <x:c r="P92" s="13" t="str">
        <x:f>IF(COUNT(H92:I92)=2,SUM(H92:I92),"")</x:f>
      </x:c>
      <x:c r="Q92" s="13" t="str">
        <x:f>IF(AND(ISNUMBER(O92),COUNT(L92:N92)=3),O92+L92-M92-N92,"")</x:f>
      </x:c>
      <x:c r="R92" s="13" t="str">
        <x:f>IF(AND(A92&lt;&gt;"",B92&lt;&gt;"",ISNUMBER(P92),ISNUMBER(Q92)),P92-Q92,"")</x:f>
      </x:c>
      <x:c r="S92" s="13" t="str">
        <x:f>IF(COUNT(H92,J92)=2,J92-H92,"")</x:f>
      </x:c>
      <x:c r="T92" s="13" t="str">
        <x:f>IF(COUNT(I92,K92)=2,K92-I92,"")</x:f>
      </x:c>
      <x:c r="U92" s="10" t="str">
        <x:f>IF(NOT(OR(A92&lt;&gt;"",B92&lt;&gt;"",COUNT(D92:N92)&gt;0)),"",IF(OR(A92="",B92="",COUNT(D92:E92,H92:I92,L92:N92)&lt;&gt;7),"ناقص",IF(OR(MIN(D92:E92,H92:I92,L92:N92)&lt;0,Q92&lt;0),"ورودی نامعتبر",IF(R92&lt;0,"کسری",IF(R92&gt;0,"اضافه","بدون مغایرت")))))</x:f>
      </x:c>
      <x:c r="V92" s="10" t="str">
        <x:f>IF(OR(A92="",B92=""),"",IF(COUNTIFS($A$8:$A$507,A92,$B$8:$B$507,B92)&gt;1,"ثبت تکراری",""))</x:f>
      </x:c>
      <x:c r="W92" s="9"/>
    </x:row>
    <x:row r="93" ht="25" customHeight="1">
      <x:c r="A93" s="11"/>
      <x:c r="B93" s="11"/>
      <x:c r="C93" s="11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3" t="str">
        <x:f>IF(COUNT(D93:E93)=2,SUM(D93:E93),"")</x:f>
      </x:c>
      <x:c r="P93" s="13" t="str">
        <x:f>IF(COUNT(H93:I93)=2,SUM(H93:I93),"")</x:f>
      </x:c>
      <x:c r="Q93" s="13" t="str">
        <x:f>IF(AND(ISNUMBER(O93),COUNT(L93:N93)=3),O93+L93-M93-N93,"")</x:f>
      </x:c>
      <x:c r="R93" s="13" t="str">
        <x:f>IF(AND(A93&lt;&gt;"",B93&lt;&gt;"",ISNUMBER(P93),ISNUMBER(Q93)),P93-Q93,"")</x:f>
      </x:c>
      <x:c r="S93" s="13" t="str">
        <x:f>IF(COUNT(H93,J93)=2,J93-H93,"")</x:f>
      </x:c>
      <x:c r="T93" s="13" t="str">
        <x:f>IF(COUNT(I93,K93)=2,K93-I93,"")</x:f>
      </x:c>
      <x:c r="U93" s="10" t="str">
        <x:f>IF(NOT(OR(A93&lt;&gt;"",B93&lt;&gt;"",COUNT(D93:N93)&gt;0)),"",IF(OR(A93="",B93="",COUNT(D93:E93,H93:I93,L93:N93)&lt;&gt;7),"ناقص",IF(OR(MIN(D93:E93,H93:I93,L93:N93)&lt;0,Q93&lt;0),"ورودی نامعتبر",IF(R93&lt;0,"کسری",IF(R93&gt;0,"اضافه","بدون مغایرت")))))</x:f>
      </x:c>
      <x:c r="V93" s="10" t="str">
        <x:f>IF(OR(A93="",B93=""),"",IF(COUNTIFS($A$8:$A$507,A93,$B$8:$B$507,B93)&gt;1,"ثبت تکراری",""))</x:f>
      </x:c>
      <x:c r="W93" s="9"/>
    </x:row>
    <x:row r="94" ht="25" customHeight="1">
      <x:c r="A94" s="11"/>
      <x:c r="B94" s="11"/>
      <x:c r="C94" s="11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3" t="str">
        <x:f>IF(COUNT(D94:E94)=2,SUM(D94:E94),"")</x:f>
      </x:c>
      <x:c r="P94" s="13" t="str">
        <x:f>IF(COUNT(H94:I94)=2,SUM(H94:I94),"")</x:f>
      </x:c>
      <x:c r="Q94" s="13" t="str">
        <x:f>IF(AND(ISNUMBER(O94),COUNT(L94:N94)=3),O94+L94-M94-N94,"")</x:f>
      </x:c>
      <x:c r="R94" s="13" t="str">
        <x:f>IF(AND(A94&lt;&gt;"",B94&lt;&gt;"",ISNUMBER(P94),ISNUMBER(Q94)),P94-Q94,"")</x:f>
      </x:c>
      <x:c r="S94" s="13" t="str">
        <x:f>IF(COUNT(H94,J94)=2,J94-H94,"")</x:f>
      </x:c>
      <x:c r="T94" s="13" t="str">
        <x:f>IF(COUNT(I94,K94)=2,K94-I94,"")</x:f>
      </x:c>
      <x:c r="U94" s="10" t="str">
        <x:f>IF(NOT(OR(A94&lt;&gt;"",B94&lt;&gt;"",COUNT(D94:N94)&gt;0)),"",IF(OR(A94="",B94="",COUNT(D94:E94,H94:I94,L94:N94)&lt;&gt;7),"ناقص",IF(OR(MIN(D94:E94,H94:I94,L94:N94)&lt;0,Q94&lt;0),"ورودی نامعتبر",IF(R94&lt;0,"کسری",IF(R94&gt;0,"اضافه","بدون مغایرت")))))</x:f>
      </x:c>
      <x:c r="V94" s="10" t="str">
        <x:f>IF(OR(A94="",B94=""),"",IF(COUNTIFS($A$8:$A$507,A94,$B$8:$B$507,B94)&gt;1,"ثبت تکراری",""))</x:f>
      </x:c>
      <x:c r="W94" s="9"/>
    </x:row>
    <x:row r="95" ht="25" customHeight="1">
      <x:c r="A95" s="11"/>
      <x:c r="B95" s="11"/>
      <x:c r="C95" s="11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3" t="str">
        <x:f>IF(COUNT(D95:E95)=2,SUM(D95:E95),"")</x:f>
      </x:c>
      <x:c r="P95" s="13" t="str">
        <x:f>IF(COUNT(H95:I95)=2,SUM(H95:I95),"")</x:f>
      </x:c>
      <x:c r="Q95" s="13" t="str">
        <x:f>IF(AND(ISNUMBER(O95),COUNT(L95:N95)=3),O95+L95-M95-N95,"")</x:f>
      </x:c>
      <x:c r="R95" s="13" t="str">
        <x:f>IF(AND(A95&lt;&gt;"",B95&lt;&gt;"",ISNUMBER(P95),ISNUMBER(Q95)),P95-Q95,"")</x:f>
      </x:c>
      <x:c r="S95" s="13" t="str">
        <x:f>IF(COUNT(H95,J95)=2,J95-H95,"")</x:f>
      </x:c>
      <x:c r="T95" s="13" t="str">
        <x:f>IF(COUNT(I95,K95)=2,K95-I95,"")</x:f>
      </x:c>
      <x:c r="U95" s="10" t="str">
        <x:f>IF(NOT(OR(A95&lt;&gt;"",B95&lt;&gt;"",COUNT(D95:N95)&gt;0)),"",IF(OR(A95="",B95="",COUNT(D95:E95,H95:I95,L95:N95)&lt;&gt;7),"ناقص",IF(OR(MIN(D95:E95,H95:I95,L95:N95)&lt;0,Q95&lt;0),"ورودی نامعتبر",IF(R95&lt;0,"کسری",IF(R95&gt;0,"اضافه","بدون مغایرت")))))</x:f>
      </x:c>
      <x:c r="V95" s="10" t="str">
        <x:f>IF(OR(A95="",B95=""),"",IF(COUNTIFS($A$8:$A$507,A95,$B$8:$B$507,B95)&gt;1,"ثبت تکراری",""))</x:f>
      </x:c>
      <x:c r="W95" s="9"/>
    </x:row>
    <x:row r="96" ht="25" customHeight="1">
      <x:c r="A96" s="11"/>
      <x:c r="B96" s="11"/>
      <x:c r="C96" s="11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3" t="str">
        <x:f>IF(COUNT(D96:E96)=2,SUM(D96:E96),"")</x:f>
      </x:c>
      <x:c r="P96" s="13" t="str">
        <x:f>IF(COUNT(H96:I96)=2,SUM(H96:I96),"")</x:f>
      </x:c>
      <x:c r="Q96" s="13" t="str">
        <x:f>IF(AND(ISNUMBER(O96),COUNT(L96:N96)=3),O96+L96-M96-N96,"")</x:f>
      </x:c>
      <x:c r="R96" s="13" t="str">
        <x:f>IF(AND(A96&lt;&gt;"",B96&lt;&gt;"",ISNUMBER(P96),ISNUMBER(Q96)),P96-Q96,"")</x:f>
      </x:c>
      <x:c r="S96" s="13" t="str">
        <x:f>IF(COUNT(H96,J96)=2,J96-H96,"")</x:f>
      </x:c>
      <x:c r="T96" s="13" t="str">
        <x:f>IF(COUNT(I96,K96)=2,K96-I96,"")</x:f>
      </x:c>
      <x:c r="U96" s="10" t="str">
        <x:f>IF(NOT(OR(A96&lt;&gt;"",B96&lt;&gt;"",COUNT(D96:N96)&gt;0)),"",IF(OR(A96="",B96="",COUNT(D96:E96,H96:I96,L96:N96)&lt;&gt;7),"ناقص",IF(OR(MIN(D96:E96,H96:I96,L96:N96)&lt;0,Q96&lt;0),"ورودی نامعتبر",IF(R96&lt;0,"کسری",IF(R96&gt;0,"اضافه","بدون مغایرت")))))</x:f>
      </x:c>
      <x:c r="V96" s="10" t="str">
        <x:f>IF(OR(A96="",B96=""),"",IF(COUNTIFS($A$8:$A$507,A96,$B$8:$B$507,B96)&gt;1,"ثبت تکراری",""))</x:f>
      </x:c>
      <x:c r="W96" s="9"/>
    </x:row>
    <x:row r="97" ht="25" customHeight="1">
      <x:c r="A97" s="11"/>
      <x:c r="B97" s="11"/>
      <x:c r="C97" s="11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3" t="str">
        <x:f>IF(COUNT(D97:E97)=2,SUM(D97:E97),"")</x:f>
      </x:c>
      <x:c r="P97" s="13" t="str">
        <x:f>IF(COUNT(H97:I97)=2,SUM(H97:I97),"")</x:f>
      </x:c>
      <x:c r="Q97" s="13" t="str">
        <x:f>IF(AND(ISNUMBER(O97),COUNT(L97:N97)=3),O97+L97-M97-N97,"")</x:f>
      </x:c>
      <x:c r="R97" s="13" t="str">
        <x:f>IF(AND(A97&lt;&gt;"",B97&lt;&gt;"",ISNUMBER(P97),ISNUMBER(Q97)),P97-Q97,"")</x:f>
      </x:c>
      <x:c r="S97" s="13" t="str">
        <x:f>IF(COUNT(H97,J97)=2,J97-H97,"")</x:f>
      </x:c>
      <x:c r="T97" s="13" t="str">
        <x:f>IF(COUNT(I97,K97)=2,K97-I97,"")</x:f>
      </x:c>
      <x:c r="U97" s="10" t="str">
        <x:f>IF(NOT(OR(A97&lt;&gt;"",B97&lt;&gt;"",COUNT(D97:N97)&gt;0)),"",IF(OR(A97="",B97="",COUNT(D97:E97,H97:I97,L97:N97)&lt;&gt;7),"ناقص",IF(OR(MIN(D97:E97,H97:I97,L97:N97)&lt;0,Q97&lt;0),"ورودی نامعتبر",IF(R97&lt;0,"کسری",IF(R97&gt;0,"اضافه","بدون مغایرت")))))</x:f>
      </x:c>
      <x:c r="V97" s="10" t="str">
        <x:f>IF(OR(A97="",B97=""),"",IF(COUNTIFS($A$8:$A$507,A97,$B$8:$B$507,B97)&gt;1,"ثبت تکراری",""))</x:f>
      </x:c>
      <x:c r="W97" s="9"/>
    </x:row>
    <x:row r="98" ht="25" customHeight="1">
      <x:c r="A98" s="11"/>
      <x:c r="B98" s="11"/>
      <x:c r="C98" s="11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3" t="str">
        <x:f>IF(COUNT(D98:E98)=2,SUM(D98:E98),"")</x:f>
      </x:c>
      <x:c r="P98" s="13" t="str">
        <x:f>IF(COUNT(H98:I98)=2,SUM(H98:I98),"")</x:f>
      </x:c>
      <x:c r="Q98" s="13" t="str">
        <x:f>IF(AND(ISNUMBER(O98),COUNT(L98:N98)=3),O98+L98-M98-N98,"")</x:f>
      </x:c>
      <x:c r="R98" s="13" t="str">
        <x:f>IF(AND(A98&lt;&gt;"",B98&lt;&gt;"",ISNUMBER(P98),ISNUMBER(Q98)),P98-Q98,"")</x:f>
      </x:c>
      <x:c r="S98" s="13" t="str">
        <x:f>IF(COUNT(H98,J98)=2,J98-H98,"")</x:f>
      </x:c>
      <x:c r="T98" s="13" t="str">
        <x:f>IF(COUNT(I98,K98)=2,K98-I98,"")</x:f>
      </x:c>
      <x:c r="U98" s="10" t="str">
        <x:f>IF(NOT(OR(A98&lt;&gt;"",B98&lt;&gt;"",COUNT(D98:N98)&gt;0)),"",IF(OR(A98="",B98="",COUNT(D98:E98,H98:I98,L98:N98)&lt;&gt;7),"ناقص",IF(OR(MIN(D98:E98,H98:I98,L98:N98)&lt;0,Q98&lt;0),"ورودی نامعتبر",IF(R98&lt;0,"کسری",IF(R98&gt;0,"اضافه","بدون مغایرت")))))</x:f>
      </x:c>
      <x:c r="V98" s="10" t="str">
        <x:f>IF(OR(A98="",B98=""),"",IF(COUNTIFS($A$8:$A$507,A98,$B$8:$B$507,B98)&gt;1,"ثبت تکراری",""))</x:f>
      </x:c>
      <x:c r="W98" s="9"/>
    </x:row>
    <x:row r="99" ht="25" customHeight="1">
      <x:c r="A99" s="11"/>
      <x:c r="B99" s="11"/>
      <x:c r="C99" s="11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3" t="str">
        <x:f>IF(COUNT(D99:E99)=2,SUM(D99:E99),"")</x:f>
      </x:c>
      <x:c r="P99" s="13" t="str">
        <x:f>IF(COUNT(H99:I99)=2,SUM(H99:I99),"")</x:f>
      </x:c>
      <x:c r="Q99" s="13" t="str">
        <x:f>IF(AND(ISNUMBER(O99),COUNT(L99:N99)=3),O99+L99-M99-N99,"")</x:f>
      </x:c>
      <x:c r="R99" s="13" t="str">
        <x:f>IF(AND(A99&lt;&gt;"",B99&lt;&gt;"",ISNUMBER(P99),ISNUMBER(Q99)),P99-Q99,"")</x:f>
      </x:c>
      <x:c r="S99" s="13" t="str">
        <x:f>IF(COUNT(H99,J99)=2,J99-H99,"")</x:f>
      </x:c>
      <x:c r="T99" s="13" t="str">
        <x:f>IF(COUNT(I99,K99)=2,K99-I99,"")</x:f>
      </x:c>
      <x:c r="U99" s="10" t="str">
        <x:f>IF(NOT(OR(A99&lt;&gt;"",B99&lt;&gt;"",COUNT(D99:N99)&gt;0)),"",IF(OR(A99="",B99="",COUNT(D99:E99,H99:I99,L99:N99)&lt;&gt;7),"ناقص",IF(OR(MIN(D99:E99,H99:I99,L99:N99)&lt;0,Q99&lt;0),"ورودی نامعتبر",IF(R99&lt;0,"کسری",IF(R99&gt;0,"اضافه","بدون مغایرت")))))</x:f>
      </x:c>
      <x:c r="V99" s="10" t="str">
        <x:f>IF(OR(A99="",B99=""),"",IF(COUNTIFS($A$8:$A$507,A99,$B$8:$B$507,B99)&gt;1,"ثبت تکراری",""))</x:f>
      </x:c>
      <x:c r="W99" s="9"/>
    </x:row>
    <x:row r="100" ht="25" customHeight="1">
      <x:c r="A100" s="11"/>
      <x:c r="B100" s="11"/>
      <x:c r="C100" s="11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3" t="str">
        <x:f>IF(COUNT(D100:E100)=2,SUM(D100:E100),"")</x:f>
      </x:c>
      <x:c r="P100" s="13" t="str">
        <x:f>IF(COUNT(H100:I100)=2,SUM(H100:I100),"")</x:f>
      </x:c>
      <x:c r="Q100" s="13" t="str">
        <x:f>IF(AND(ISNUMBER(O100),COUNT(L100:N100)=3),O100+L100-M100-N100,"")</x:f>
      </x:c>
      <x:c r="R100" s="13" t="str">
        <x:f>IF(AND(A100&lt;&gt;"",B100&lt;&gt;"",ISNUMBER(P100),ISNUMBER(Q100)),P100-Q100,"")</x:f>
      </x:c>
      <x:c r="S100" s="13" t="str">
        <x:f>IF(COUNT(H100,J100)=2,J100-H100,"")</x:f>
      </x:c>
      <x:c r="T100" s="13" t="str">
        <x:f>IF(COUNT(I100,K100)=2,K100-I100,"")</x:f>
      </x:c>
      <x:c r="U100" s="10" t="str">
        <x:f>IF(NOT(OR(A100&lt;&gt;"",B100&lt;&gt;"",COUNT(D100:N100)&gt;0)),"",IF(OR(A100="",B100="",COUNT(D100:E100,H100:I100,L100:N100)&lt;&gt;7),"ناقص",IF(OR(MIN(D100:E100,H100:I100,L100:N100)&lt;0,Q100&lt;0),"ورودی نامعتبر",IF(R100&lt;0,"کسری",IF(R100&gt;0,"اضافه","بدون مغایرت")))))</x:f>
      </x:c>
      <x:c r="V100" s="10" t="str">
        <x:f>IF(OR(A100="",B100=""),"",IF(COUNTIFS($A$8:$A$507,A100,$B$8:$B$507,B100)&gt;1,"ثبت تکراری",""))</x:f>
      </x:c>
      <x:c r="W100" s="9"/>
    </x:row>
    <x:row r="101" ht="25" customHeight="1">
      <x:c r="A101" s="11"/>
      <x:c r="B101" s="11"/>
      <x:c r="C101" s="11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3" t="str">
        <x:f>IF(COUNT(D101:E101)=2,SUM(D101:E101),"")</x:f>
      </x:c>
      <x:c r="P101" s="13" t="str">
        <x:f>IF(COUNT(H101:I101)=2,SUM(H101:I101),"")</x:f>
      </x:c>
      <x:c r="Q101" s="13" t="str">
        <x:f>IF(AND(ISNUMBER(O101),COUNT(L101:N101)=3),O101+L101-M101-N101,"")</x:f>
      </x:c>
      <x:c r="R101" s="13" t="str">
        <x:f>IF(AND(A101&lt;&gt;"",B101&lt;&gt;"",ISNUMBER(P101),ISNUMBER(Q101)),P101-Q101,"")</x:f>
      </x:c>
      <x:c r="S101" s="13" t="str">
        <x:f>IF(COUNT(H101,J101)=2,J101-H101,"")</x:f>
      </x:c>
      <x:c r="T101" s="13" t="str">
        <x:f>IF(COUNT(I101,K101)=2,K101-I101,"")</x:f>
      </x:c>
      <x:c r="U101" s="10" t="str">
        <x:f>IF(NOT(OR(A101&lt;&gt;"",B101&lt;&gt;"",COUNT(D101:N101)&gt;0)),"",IF(OR(A101="",B101="",COUNT(D101:E101,H101:I101,L101:N101)&lt;&gt;7),"ناقص",IF(OR(MIN(D101:E101,H101:I101,L101:N101)&lt;0,Q101&lt;0),"ورودی نامعتبر",IF(R101&lt;0,"کسری",IF(R101&gt;0,"اضافه","بدون مغایرت")))))</x:f>
      </x:c>
      <x:c r="V101" s="10" t="str">
        <x:f>IF(OR(A101="",B101=""),"",IF(COUNTIFS($A$8:$A$507,A101,$B$8:$B$507,B101)&gt;1,"ثبت تکراری",""))</x:f>
      </x:c>
      <x:c r="W101" s="9"/>
    </x:row>
    <x:row r="102" ht="25" customHeight="1">
      <x:c r="A102" s="11"/>
      <x:c r="B102" s="11"/>
      <x:c r="C102" s="11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3" t="str">
        <x:f>IF(COUNT(D102:E102)=2,SUM(D102:E102),"")</x:f>
      </x:c>
      <x:c r="P102" s="13" t="str">
        <x:f>IF(COUNT(H102:I102)=2,SUM(H102:I102),"")</x:f>
      </x:c>
      <x:c r="Q102" s="13" t="str">
        <x:f>IF(AND(ISNUMBER(O102),COUNT(L102:N102)=3),O102+L102-M102-N102,"")</x:f>
      </x:c>
      <x:c r="R102" s="13" t="str">
        <x:f>IF(AND(A102&lt;&gt;"",B102&lt;&gt;"",ISNUMBER(P102),ISNUMBER(Q102)),P102-Q102,"")</x:f>
      </x:c>
      <x:c r="S102" s="13" t="str">
        <x:f>IF(COUNT(H102,J102)=2,J102-H102,"")</x:f>
      </x:c>
      <x:c r="T102" s="13" t="str">
        <x:f>IF(COUNT(I102,K102)=2,K102-I102,"")</x:f>
      </x:c>
      <x:c r="U102" s="10" t="str">
        <x:f>IF(NOT(OR(A102&lt;&gt;"",B102&lt;&gt;"",COUNT(D102:N102)&gt;0)),"",IF(OR(A102="",B102="",COUNT(D102:E102,H102:I102,L102:N102)&lt;&gt;7),"ناقص",IF(OR(MIN(D102:E102,H102:I102,L102:N102)&lt;0,Q102&lt;0),"ورودی نامعتبر",IF(R102&lt;0,"کسری",IF(R102&gt;0,"اضافه","بدون مغایرت")))))</x:f>
      </x:c>
      <x:c r="V102" s="10" t="str">
        <x:f>IF(OR(A102="",B102=""),"",IF(COUNTIFS($A$8:$A$507,A102,$B$8:$B$507,B102)&gt;1,"ثبت تکراری",""))</x:f>
      </x:c>
      <x:c r="W102" s="9"/>
    </x:row>
    <x:row r="103" ht="25" customHeight="1">
      <x:c r="A103" s="11"/>
      <x:c r="B103" s="11"/>
      <x:c r="C103" s="11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3" t="str">
        <x:f>IF(COUNT(D103:E103)=2,SUM(D103:E103),"")</x:f>
      </x:c>
      <x:c r="P103" s="13" t="str">
        <x:f>IF(COUNT(H103:I103)=2,SUM(H103:I103),"")</x:f>
      </x:c>
      <x:c r="Q103" s="13" t="str">
        <x:f>IF(AND(ISNUMBER(O103),COUNT(L103:N103)=3),O103+L103-M103-N103,"")</x:f>
      </x:c>
      <x:c r="R103" s="13" t="str">
        <x:f>IF(AND(A103&lt;&gt;"",B103&lt;&gt;"",ISNUMBER(P103),ISNUMBER(Q103)),P103-Q103,"")</x:f>
      </x:c>
      <x:c r="S103" s="13" t="str">
        <x:f>IF(COUNT(H103,J103)=2,J103-H103,"")</x:f>
      </x:c>
      <x:c r="T103" s="13" t="str">
        <x:f>IF(COUNT(I103,K103)=2,K103-I103,"")</x:f>
      </x:c>
      <x:c r="U103" s="10" t="str">
        <x:f>IF(NOT(OR(A103&lt;&gt;"",B103&lt;&gt;"",COUNT(D103:N103)&gt;0)),"",IF(OR(A103="",B103="",COUNT(D103:E103,H103:I103,L103:N103)&lt;&gt;7),"ناقص",IF(OR(MIN(D103:E103,H103:I103,L103:N103)&lt;0,Q103&lt;0),"ورودی نامعتبر",IF(R103&lt;0,"کسری",IF(R103&gt;0,"اضافه","بدون مغایرت")))))</x:f>
      </x:c>
      <x:c r="V103" s="10" t="str">
        <x:f>IF(OR(A103="",B103=""),"",IF(COUNTIFS($A$8:$A$507,A103,$B$8:$B$507,B103)&gt;1,"ثبت تکراری",""))</x:f>
      </x:c>
      <x:c r="W103" s="9"/>
    </x:row>
    <x:row r="104" ht="25" customHeight="1">
      <x:c r="A104" s="11"/>
      <x:c r="B104" s="11"/>
      <x:c r="C104" s="11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3" t="str">
        <x:f>IF(COUNT(D104:E104)=2,SUM(D104:E104),"")</x:f>
      </x:c>
      <x:c r="P104" s="13" t="str">
        <x:f>IF(COUNT(H104:I104)=2,SUM(H104:I104),"")</x:f>
      </x:c>
      <x:c r="Q104" s="13" t="str">
        <x:f>IF(AND(ISNUMBER(O104),COUNT(L104:N104)=3),O104+L104-M104-N104,"")</x:f>
      </x:c>
      <x:c r="R104" s="13" t="str">
        <x:f>IF(AND(A104&lt;&gt;"",B104&lt;&gt;"",ISNUMBER(P104),ISNUMBER(Q104)),P104-Q104,"")</x:f>
      </x:c>
      <x:c r="S104" s="13" t="str">
        <x:f>IF(COUNT(H104,J104)=2,J104-H104,"")</x:f>
      </x:c>
      <x:c r="T104" s="13" t="str">
        <x:f>IF(COUNT(I104,K104)=2,K104-I104,"")</x:f>
      </x:c>
      <x:c r="U104" s="10" t="str">
        <x:f>IF(NOT(OR(A104&lt;&gt;"",B104&lt;&gt;"",COUNT(D104:N104)&gt;0)),"",IF(OR(A104="",B104="",COUNT(D104:E104,H104:I104,L104:N104)&lt;&gt;7),"ناقص",IF(OR(MIN(D104:E104,H104:I104,L104:N104)&lt;0,Q104&lt;0),"ورودی نامعتبر",IF(R104&lt;0,"کسری",IF(R104&gt;0,"اضافه","بدون مغایرت")))))</x:f>
      </x:c>
      <x:c r="V104" s="10" t="str">
        <x:f>IF(OR(A104="",B104=""),"",IF(COUNTIFS($A$8:$A$507,A104,$B$8:$B$507,B104)&gt;1,"ثبت تکراری",""))</x:f>
      </x:c>
      <x:c r="W104" s="9"/>
    </x:row>
    <x:row r="105" ht="25" customHeight="1">
      <x:c r="A105" s="11"/>
      <x:c r="B105" s="11"/>
      <x:c r="C105" s="11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3" t="str">
        <x:f>IF(COUNT(D105:E105)=2,SUM(D105:E105),"")</x:f>
      </x:c>
      <x:c r="P105" s="13" t="str">
        <x:f>IF(COUNT(H105:I105)=2,SUM(H105:I105),"")</x:f>
      </x:c>
      <x:c r="Q105" s="13" t="str">
        <x:f>IF(AND(ISNUMBER(O105),COUNT(L105:N105)=3),O105+L105-M105-N105,"")</x:f>
      </x:c>
      <x:c r="R105" s="13" t="str">
        <x:f>IF(AND(A105&lt;&gt;"",B105&lt;&gt;"",ISNUMBER(P105),ISNUMBER(Q105)),P105-Q105,"")</x:f>
      </x:c>
      <x:c r="S105" s="13" t="str">
        <x:f>IF(COUNT(H105,J105)=2,J105-H105,"")</x:f>
      </x:c>
      <x:c r="T105" s="13" t="str">
        <x:f>IF(COUNT(I105,K105)=2,K105-I105,"")</x:f>
      </x:c>
      <x:c r="U105" s="10" t="str">
        <x:f>IF(NOT(OR(A105&lt;&gt;"",B105&lt;&gt;"",COUNT(D105:N105)&gt;0)),"",IF(OR(A105="",B105="",COUNT(D105:E105,H105:I105,L105:N105)&lt;&gt;7),"ناقص",IF(OR(MIN(D105:E105,H105:I105,L105:N105)&lt;0,Q105&lt;0),"ورودی نامعتبر",IF(R105&lt;0,"کسری",IF(R105&gt;0,"اضافه","بدون مغایرت")))))</x:f>
      </x:c>
      <x:c r="V105" s="10" t="str">
        <x:f>IF(OR(A105="",B105=""),"",IF(COUNTIFS($A$8:$A$507,A105,$B$8:$B$507,B105)&gt;1,"ثبت تکراری",""))</x:f>
      </x:c>
      <x:c r="W105" s="9"/>
    </x:row>
    <x:row r="106" ht="25" customHeight="1">
      <x:c r="A106" s="11"/>
      <x:c r="B106" s="11"/>
      <x:c r="C106" s="11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3" t="str">
        <x:f>IF(COUNT(D106:E106)=2,SUM(D106:E106),"")</x:f>
      </x:c>
      <x:c r="P106" s="13" t="str">
        <x:f>IF(COUNT(H106:I106)=2,SUM(H106:I106),"")</x:f>
      </x:c>
      <x:c r="Q106" s="13" t="str">
        <x:f>IF(AND(ISNUMBER(O106),COUNT(L106:N106)=3),O106+L106-M106-N106,"")</x:f>
      </x:c>
      <x:c r="R106" s="13" t="str">
        <x:f>IF(AND(A106&lt;&gt;"",B106&lt;&gt;"",ISNUMBER(P106),ISNUMBER(Q106)),P106-Q106,"")</x:f>
      </x:c>
      <x:c r="S106" s="13" t="str">
        <x:f>IF(COUNT(H106,J106)=2,J106-H106,"")</x:f>
      </x:c>
      <x:c r="T106" s="13" t="str">
        <x:f>IF(COUNT(I106,K106)=2,K106-I106,"")</x:f>
      </x:c>
      <x:c r="U106" s="10" t="str">
        <x:f>IF(NOT(OR(A106&lt;&gt;"",B106&lt;&gt;"",COUNT(D106:N106)&gt;0)),"",IF(OR(A106="",B106="",COUNT(D106:E106,H106:I106,L106:N106)&lt;&gt;7),"ناقص",IF(OR(MIN(D106:E106,H106:I106,L106:N106)&lt;0,Q106&lt;0),"ورودی نامعتبر",IF(R106&lt;0,"کسری",IF(R106&gt;0,"اضافه","بدون مغایرت")))))</x:f>
      </x:c>
      <x:c r="V106" s="10" t="str">
        <x:f>IF(OR(A106="",B106=""),"",IF(COUNTIFS($A$8:$A$507,A106,$B$8:$B$507,B106)&gt;1,"ثبت تکراری",""))</x:f>
      </x:c>
      <x:c r="W106" s="9"/>
    </x:row>
    <x:row r="107" ht="25" customHeight="1">
      <x:c r="A107" s="11"/>
      <x:c r="B107" s="11"/>
      <x:c r="C107" s="11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3" t="str">
        <x:f>IF(COUNT(D107:E107)=2,SUM(D107:E107),"")</x:f>
      </x:c>
      <x:c r="P107" s="13" t="str">
        <x:f>IF(COUNT(H107:I107)=2,SUM(H107:I107),"")</x:f>
      </x:c>
      <x:c r="Q107" s="13" t="str">
        <x:f>IF(AND(ISNUMBER(O107),COUNT(L107:N107)=3),O107+L107-M107-N107,"")</x:f>
      </x:c>
      <x:c r="R107" s="13" t="str">
        <x:f>IF(AND(A107&lt;&gt;"",B107&lt;&gt;"",ISNUMBER(P107),ISNUMBER(Q107)),P107-Q107,"")</x:f>
      </x:c>
      <x:c r="S107" s="13" t="str">
        <x:f>IF(COUNT(H107,J107)=2,J107-H107,"")</x:f>
      </x:c>
      <x:c r="T107" s="13" t="str">
        <x:f>IF(COUNT(I107,K107)=2,K107-I107,"")</x:f>
      </x:c>
      <x:c r="U107" s="10" t="str">
        <x:f>IF(NOT(OR(A107&lt;&gt;"",B107&lt;&gt;"",COUNT(D107:N107)&gt;0)),"",IF(OR(A107="",B107="",COUNT(D107:E107,H107:I107,L107:N107)&lt;&gt;7),"ناقص",IF(OR(MIN(D107:E107,H107:I107,L107:N107)&lt;0,Q107&lt;0),"ورودی نامعتبر",IF(R107&lt;0,"کسری",IF(R107&gt;0,"اضافه","بدون مغایرت")))))</x:f>
      </x:c>
      <x:c r="V107" s="10" t="str">
        <x:f>IF(OR(A107="",B107=""),"",IF(COUNTIFS($A$8:$A$507,A107,$B$8:$B$507,B107)&gt;1,"ثبت تکراری",""))</x:f>
      </x:c>
      <x:c r="W107" s="9"/>
    </x:row>
    <x:row r="108" ht="25" customHeight="1">
      <x:c r="A108" s="11"/>
      <x:c r="B108" s="11"/>
      <x:c r="C108" s="11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3" t="str">
        <x:f>IF(COUNT(D108:E108)=2,SUM(D108:E108),"")</x:f>
      </x:c>
      <x:c r="P108" s="13" t="str">
        <x:f>IF(COUNT(H108:I108)=2,SUM(H108:I108),"")</x:f>
      </x:c>
      <x:c r="Q108" s="13" t="str">
        <x:f>IF(AND(ISNUMBER(O108),COUNT(L108:N108)=3),O108+L108-M108-N108,"")</x:f>
      </x:c>
      <x:c r="R108" s="13" t="str">
        <x:f>IF(AND(A108&lt;&gt;"",B108&lt;&gt;"",ISNUMBER(P108),ISNUMBER(Q108)),P108-Q108,"")</x:f>
      </x:c>
      <x:c r="S108" s="13" t="str">
        <x:f>IF(COUNT(H108,J108)=2,J108-H108,"")</x:f>
      </x:c>
      <x:c r="T108" s="13" t="str">
        <x:f>IF(COUNT(I108,K108)=2,K108-I108,"")</x:f>
      </x:c>
      <x:c r="U108" s="10" t="str">
        <x:f>IF(NOT(OR(A108&lt;&gt;"",B108&lt;&gt;"",COUNT(D108:N108)&gt;0)),"",IF(OR(A108="",B108="",COUNT(D108:E108,H108:I108,L108:N108)&lt;&gt;7),"ناقص",IF(OR(MIN(D108:E108,H108:I108,L108:N108)&lt;0,Q108&lt;0),"ورودی نامعتبر",IF(R108&lt;0,"کسری",IF(R108&gt;0,"اضافه","بدون مغایرت")))))</x:f>
      </x:c>
      <x:c r="V108" s="10" t="str">
        <x:f>IF(OR(A108="",B108=""),"",IF(COUNTIFS($A$8:$A$507,A108,$B$8:$B$507,B108)&gt;1,"ثبت تکراری",""))</x:f>
      </x:c>
      <x:c r="W108" s="9"/>
    </x:row>
    <x:row r="109" ht="25" customHeight="1">
      <x:c r="A109" s="11"/>
      <x:c r="B109" s="11"/>
      <x:c r="C109" s="11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3" t="str">
        <x:f>IF(COUNT(D109:E109)=2,SUM(D109:E109),"")</x:f>
      </x:c>
      <x:c r="P109" s="13" t="str">
        <x:f>IF(COUNT(H109:I109)=2,SUM(H109:I109),"")</x:f>
      </x:c>
      <x:c r="Q109" s="13" t="str">
        <x:f>IF(AND(ISNUMBER(O109),COUNT(L109:N109)=3),O109+L109-M109-N109,"")</x:f>
      </x:c>
      <x:c r="R109" s="13" t="str">
        <x:f>IF(AND(A109&lt;&gt;"",B109&lt;&gt;"",ISNUMBER(P109),ISNUMBER(Q109)),P109-Q109,"")</x:f>
      </x:c>
      <x:c r="S109" s="13" t="str">
        <x:f>IF(COUNT(H109,J109)=2,J109-H109,"")</x:f>
      </x:c>
      <x:c r="T109" s="13" t="str">
        <x:f>IF(COUNT(I109,K109)=2,K109-I109,"")</x:f>
      </x:c>
      <x:c r="U109" s="10" t="str">
        <x:f>IF(NOT(OR(A109&lt;&gt;"",B109&lt;&gt;"",COUNT(D109:N109)&gt;0)),"",IF(OR(A109="",B109="",COUNT(D109:E109,H109:I109,L109:N109)&lt;&gt;7),"ناقص",IF(OR(MIN(D109:E109,H109:I109,L109:N109)&lt;0,Q109&lt;0),"ورودی نامعتبر",IF(R109&lt;0,"کسری",IF(R109&gt;0,"اضافه","بدون مغایرت")))))</x:f>
      </x:c>
      <x:c r="V109" s="10" t="str">
        <x:f>IF(OR(A109="",B109=""),"",IF(COUNTIFS($A$8:$A$507,A109,$B$8:$B$507,B109)&gt;1,"ثبت تکراری",""))</x:f>
      </x:c>
      <x:c r="W109" s="9"/>
    </x:row>
    <x:row r="110" ht="25" customHeight="1">
      <x:c r="A110" s="11"/>
      <x:c r="B110" s="11"/>
      <x:c r="C110" s="11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3" t="str">
        <x:f>IF(COUNT(D110:E110)=2,SUM(D110:E110),"")</x:f>
      </x:c>
      <x:c r="P110" s="13" t="str">
        <x:f>IF(COUNT(H110:I110)=2,SUM(H110:I110),"")</x:f>
      </x:c>
      <x:c r="Q110" s="13" t="str">
        <x:f>IF(AND(ISNUMBER(O110),COUNT(L110:N110)=3),O110+L110-M110-N110,"")</x:f>
      </x:c>
      <x:c r="R110" s="13" t="str">
        <x:f>IF(AND(A110&lt;&gt;"",B110&lt;&gt;"",ISNUMBER(P110),ISNUMBER(Q110)),P110-Q110,"")</x:f>
      </x:c>
      <x:c r="S110" s="13" t="str">
        <x:f>IF(COUNT(H110,J110)=2,J110-H110,"")</x:f>
      </x:c>
      <x:c r="T110" s="13" t="str">
        <x:f>IF(COUNT(I110,K110)=2,K110-I110,"")</x:f>
      </x:c>
      <x:c r="U110" s="10" t="str">
        <x:f>IF(NOT(OR(A110&lt;&gt;"",B110&lt;&gt;"",COUNT(D110:N110)&gt;0)),"",IF(OR(A110="",B110="",COUNT(D110:E110,H110:I110,L110:N110)&lt;&gt;7),"ناقص",IF(OR(MIN(D110:E110,H110:I110,L110:N110)&lt;0,Q110&lt;0),"ورودی نامعتبر",IF(R110&lt;0,"کسری",IF(R110&gt;0,"اضافه","بدون مغایرت")))))</x:f>
      </x:c>
      <x:c r="V110" s="10" t="str">
        <x:f>IF(OR(A110="",B110=""),"",IF(COUNTIFS($A$8:$A$507,A110,$B$8:$B$507,B110)&gt;1,"ثبت تکراری",""))</x:f>
      </x:c>
      <x:c r="W110" s="9"/>
    </x:row>
    <x:row r="111" ht="25" customHeight="1">
      <x:c r="A111" s="11"/>
      <x:c r="B111" s="11"/>
      <x:c r="C111" s="11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3" t="str">
        <x:f>IF(COUNT(D111:E111)=2,SUM(D111:E111),"")</x:f>
      </x:c>
      <x:c r="P111" s="13" t="str">
        <x:f>IF(COUNT(H111:I111)=2,SUM(H111:I111),"")</x:f>
      </x:c>
      <x:c r="Q111" s="13" t="str">
        <x:f>IF(AND(ISNUMBER(O111),COUNT(L111:N111)=3),O111+L111-M111-N111,"")</x:f>
      </x:c>
      <x:c r="R111" s="13" t="str">
        <x:f>IF(AND(A111&lt;&gt;"",B111&lt;&gt;"",ISNUMBER(P111),ISNUMBER(Q111)),P111-Q111,"")</x:f>
      </x:c>
      <x:c r="S111" s="13" t="str">
        <x:f>IF(COUNT(H111,J111)=2,J111-H111,"")</x:f>
      </x:c>
      <x:c r="T111" s="13" t="str">
        <x:f>IF(COUNT(I111,K111)=2,K111-I111,"")</x:f>
      </x:c>
      <x:c r="U111" s="10" t="str">
        <x:f>IF(NOT(OR(A111&lt;&gt;"",B111&lt;&gt;"",COUNT(D111:N111)&gt;0)),"",IF(OR(A111="",B111="",COUNT(D111:E111,H111:I111,L111:N111)&lt;&gt;7),"ناقص",IF(OR(MIN(D111:E111,H111:I111,L111:N111)&lt;0,Q111&lt;0),"ورودی نامعتبر",IF(R111&lt;0,"کسری",IF(R111&gt;0,"اضافه","بدون مغایرت")))))</x:f>
      </x:c>
      <x:c r="V111" s="10" t="str">
        <x:f>IF(OR(A111="",B111=""),"",IF(COUNTIFS($A$8:$A$507,A111,$B$8:$B$507,B111)&gt;1,"ثبت تکراری",""))</x:f>
      </x:c>
      <x:c r="W111" s="9"/>
    </x:row>
    <x:row r="112" ht="25" customHeight="1">
      <x:c r="A112" s="11"/>
      <x:c r="B112" s="11"/>
      <x:c r="C112" s="11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3" t="str">
        <x:f>IF(COUNT(D112:E112)=2,SUM(D112:E112),"")</x:f>
      </x:c>
      <x:c r="P112" s="13" t="str">
        <x:f>IF(COUNT(H112:I112)=2,SUM(H112:I112),"")</x:f>
      </x:c>
      <x:c r="Q112" s="13" t="str">
        <x:f>IF(AND(ISNUMBER(O112),COUNT(L112:N112)=3),O112+L112-M112-N112,"")</x:f>
      </x:c>
      <x:c r="R112" s="13" t="str">
        <x:f>IF(AND(A112&lt;&gt;"",B112&lt;&gt;"",ISNUMBER(P112),ISNUMBER(Q112)),P112-Q112,"")</x:f>
      </x:c>
      <x:c r="S112" s="13" t="str">
        <x:f>IF(COUNT(H112,J112)=2,J112-H112,"")</x:f>
      </x:c>
      <x:c r="T112" s="13" t="str">
        <x:f>IF(COUNT(I112,K112)=2,K112-I112,"")</x:f>
      </x:c>
      <x:c r="U112" s="10" t="str">
        <x:f>IF(NOT(OR(A112&lt;&gt;"",B112&lt;&gt;"",COUNT(D112:N112)&gt;0)),"",IF(OR(A112="",B112="",COUNT(D112:E112,H112:I112,L112:N112)&lt;&gt;7),"ناقص",IF(OR(MIN(D112:E112,H112:I112,L112:N112)&lt;0,Q112&lt;0),"ورودی نامعتبر",IF(R112&lt;0,"کسری",IF(R112&gt;0,"اضافه","بدون مغایرت")))))</x:f>
      </x:c>
      <x:c r="V112" s="10" t="str">
        <x:f>IF(OR(A112="",B112=""),"",IF(COUNTIFS($A$8:$A$507,A112,$B$8:$B$507,B112)&gt;1,"ثبت تکراری",""))</x:f>
      </x:c>
      <x:c r="W112" s="9"/>
    </x:row>
    <x:row r="113" ht="25" customHeight="1">
      <x:c r="A113" s="11"/>
      <x:c r="B113" s="11"/>
      <x:c r="C113" s="11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3" t="str">
        <x:f>IF(COUNT(D113:E113)=2,SUM(D113:E113),"")</x:f>
      </x:c>
      <x:c r="P113" s="13" t="str">
        <x:f>IF(COUNT(H113:I113)=2,SUM(H113:I113),"")</x:f>
      </x:c>
      <x:c r="Q113" s="13" t="str">
        <x:f>IF(AND(ISNUMBER(O113),COUNT(L113:N113)=3),O113+L113-M113-N113,"")</x:f>
      </x:c>
      <x:c r="R113" s="13" t="str">
        <x:f>IF(AND(A113&lt;&gt;"",B113&lt;&gt;"",ISNUMBER(P113),ISNUMBER(Q113)),P113-Q113,"")</x:f>
      </x:c>
      <x:c r="S113" s="13" t="str">
        <x:f>IF(COUNT(H113,J113)=2,J113-H113,"")</x:f>
      </x:c>
      <x:c r="T113" s="13" t="str">
        <x:f>IF(COUNT(I113,K113)=2,K113-I113,"")</x:f>
      </x:c>
      <x:c r="U113" s="10" t="str">
        <x:f>IF(NOT(OR(A113&lt;&gt;"",B113&lt;&gt;"",COUNT(D113:N113)&gt;0)),"",IF(OR(A113="",B113="",COUNT(D113:E113,H113:I113,L113:N113)&lt;&gt;7),"ناقص",IF(OR(MIN(D113:E113,H113:I113,L113:N113)&lt;0,Q113&lt;0),"ورودی نامعتبر",IF(R113&lt;0,"کسری",IF(R113&gt;0,"اضافه","بدون مغایرت")))))</x:f>
      </x:c>
      <x:c r="V113" s="10" t="str">
        <x:f>IF(OR(A113="",B113=""),"",IF(COUNTIFS($A$8:$A$507,A113,$B$8:$B$507,B113)&gt;1,"ثبت تکراری",""))</x:f>
      </x:c>
      <x:c r="W113" s="9"/>
    </x:row>
    <x:row r="114" ht="25" customHeight="1">
      <x:c r="A114" s="11"/>
      <x:c r="B114" s="11"/>
      <x:c r="C114" s="11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3" t="str">
        <x:f>IF(COUNT(D114:E114)=2,SUM(D114:E114),"")</x:f>
      </x:c>
      <x:c r="P114" s="13" t="str">
        <x:f>IF(COUNT(H114:I114)=2,SUM(H114:I114),"")</x:f>
      </x:c>
      <x:c r="Q114" s="13" t="str">
        <x:f>IF(AND(ISNUMBER(O114),COUNT(L114:N114)=3),O114+L114-M114-N114,"")</x:f>
      </x:c>
      <x:c r="R114" s="13" t="str">
        <x:f>IF(AND(A114&lt;&gt;"",B114&lt;&gt;"",ISNUMBER(P114),ISNUMBER(Q114)),P114-Q114,"")</x:f>
      </x:c>
      <x:c r="S114" s="13" t="str">
        <x:f>IF(COUNT(H114,J114)=2,J114-H114,"")</x:f>
      </x:c>
      <x:c r="T114" s="13" t="str">
        <x:f>IF(COUNT(I114,K114)=2,K114-I114,"")</x:f>
      </x:c>
      <x:c r="U114" s="10" t="str">
        <x:f>IF(NOT(OR(A114&lt;&gt;"",B114&lt;&gt;"",COUNT(D114:N114)&gt;0)),"",IF(OR(A114="",B114="",COUNT(D114:E114,H114:I114,L114:N114)&lt;&gt;7),"ناقص",IF(OR(MIN(D114:E114,H114:I114,L114:N114)&lt;0,Q114&lt;0),"ورودی نامعتبر",IF(R114&lt;0,"کسری",IF(R114&gt;0,"اضافه","بدون مغایرت")))))</x:f>
      </x:c>
      <x:c r="V114" s="10" t="str">
        <x:f>IF(OR(A114="",B114=""),"",IF(COUNTIFS($A$8:$A$507,A114,$B$8:$B$507,B114)&gt;1,"ثبت تکراری",""))</x:f>
      </x:c>
      <x:c r="W114" s="9"/>
    </x:row>
    <x:row r="115" ht="25" customHeight="1">
      <x:c r="A115" s="11"/>
      <x:c r="B115" s="11"/>
      <x:c r="C115" s="11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3" t="str">
        <x:f>IF(COUNT(D115:E115)=2,SUM(D115:E115),"")</x:f>
      </x:c>
      <x:c r="P115" s="13" t="str">
        <x:f>IF(COUNT(H115:I115)=2,SUM(H115:I115),"")</x:f>
      </x:c>
      <x:c r="Q115" s="13" t="str">
        <x:f>IF(AND(ISNUMBER(O115),COUNT(L115:N115)=3),O115+L115-M115-N115,"")</x:f>
      </x:c>
      <x:c r="R115" s="13" t="str">
        <x:f>IF(AND(A115&lt;&gt;"",B115&lt;&gt;"",ISNUMBER(P115),ISNUMBER(Q115)),P115-Q115,"")</x:f>
      </x:c>
      <x:c r="S115" s="13" t="str">
        <x:f>IF(COUNT(H115,J115)=2,J115-H115,"")</x:f>
      </x:c>
      <x:c r="T115" s="13" t="str">
        <x:f>IF(COUNT(I115,K115)=2,K115-I115,"")</x:f>
      </x:c>
      <x:c r="U115" s="10" t="str">
        <x:f>IF(NOT(OR(A115&lt;&gt;"",B115&lt;&gt;"",COUNT(D115:N115)&gt;0)),"",IF(OR(A115="",B115="",COUNT(D115:E115,H115:I115,L115:N115)&lt;&gt;7),"ناقص",IF(OR(MIN(D115:E115,H115:I115,L115:N115)&lt;0,Q115&lt;0),"ورودی نامعتبر",IF(R115&lt;0,"کسری",IF(R115&gt;0,"اضافه","بدون مغایرت")))))</x:f>
      </x:c>
      <x:c r="V115" s="10" t="str">
        <x:f>IF(OR(A115="",B115=""),"",IF(COUNTIFS($A$8:$A$507,A115,$B$8:$B$507,B115)&gt;1,"ثبت تکراری",""))</x:f>
      </x:c>
      <x:c r="W115" s="9"/>
    </x:row>
    <x:row r="116" ht="25" customHeight="1">
      <x:c r="A116" s="11"/>
      <x:c r="B116" s="11"/>
      <x:c r="C116" s="11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3" t="str">
        <x:f>IF(COUNT(D116:E116)=2,SUM(D116:E116),"")</x:f>
      </x:c>
      <x:c r="P116" s="13" t="str">
        <x:f>IF(COUNT(H116:I116)=2,SUM(H116:I116),"")</x:f>
      </x:c>
      <x:c r="Q116" s="13" t="str">
        <x:f>IF(AND(ISNUMBER(O116),COUNT(L116:N116)=3),O116+L116-M116-N116,"")</x:f>
      </x:c>
      <x:c r="R116" s="13" t="str">
        <x:f>IF(AND(A116&lt;&gt;"",B116&lt;&gt;"",ISNUMBER(P116),ISNUMBER(Q116)),P116-Q116,"")</x:f>
      </x:c>
      <x:c r="S116" s="13" t="str">
        <x:f>IF(COUNT(H116,J116)=2,J116-H116,"")</x:f>
      </x:c>
      <x:c r="T116" s="13" t="str">
        <x:f>IF(COUNT(I116,K116)=2,K116-I116,"")</x:f>
      </x:c>
      <x:c r="U116" s="10" t="str">
        <x:f>IF(NOT(OR(A116&lt;&gt;"",B116&lt;&gt;"",COUNT(D116:N116)&gt;0)),"",IF(OR(A116="",B116="",COUNT(D116:E116,H116:I116,L116:N116)&lt;&gt;7),"ناقص",IF(OR(MIN(D116:E116,H116:I116,L116:N116)&lt;0,Q116&lt;0),"ورودی نامعتبر",IF(R116&lt;0,"کسری",IF(R116&gt;0,"اضافه","بدون مغایرت")))))</x:f>
      </x:c>
      <x:c r="V116" s="10" t="str">
        <x:f>IF(OR(A116="",B116=""),"",IF(COUNTIFS($A$8:$A$507,A116,$B$8:$B$507,B116)&gt;1,"ثبت تکراری",""))</x:f>
      </x:c>
      <x:c r="W116" s="9"/>
    </x:row>
    <x:row r="117" ht="25" customHeight="1">
      <x:c r="A117" s="11"/>
      <x:c r="B117" s="11"/>
      <x:c r="C117" s="11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3" t="str">
        <x:f>IF(COUNT(D117:E117)=2,SUM(D117:E117),"")</x:f>
      </x:c>
      <x:c r="P117" s="13" t="str">
        <x:f>IF(COUNT(H117:I117)=2,SUM(H117:I117),"")</x:f>
      </x:c>
      <x:c r="Q117" s="13" t="str">
        <x:f>IF(AND(ISNUMBER(O117),COUNT(L117:N117)=3),O117+L117-M117-N117,"")</x:f>
      </x:c>
      <x:c r="R117" s="13" t="str">
        <x:f>IF(AND(A117&lt;&gt;"",B117&lt;&gt;"",ISNUMBER(P117),ISNUMBER(Q117)),P117-Q117,"")</x:f>
      </x:c>
      <x:c r="S117" s="13" t="str">
        <x:f>IF(COUNT(H117,J117)=2,J117-H117,"")</x:f>
      </x:c>
      <x:c r="T117" s="13" t="str">
        <x:f>IF(COUNT(I117,K117)=2,K117-I117,"")</x:f>
      </x:c>
      <x:c r="U117" s="10" t="str">
        <x:f>IF(NOT(OR(A117&lt;&gt;"",B117&lt;&gt;"",COUNT(D117:N117)&gt;0)),"",IF(OR(A117="",B117="",COUNT(D117:E117,H117:I117,L117:N117)&lt;&gt;7),"ناقص",IF(OR(MIN(D117:E117,H117:I117,L117:N117)&lt;0,Q117&lt;0),"ورودی نامعتبر",IF(R117&lt;0,"کسری",IF(R117&gt;0,"اضافه","بدون مغایرت")))))</x:f>
      </x:c>
      <x:c r="V117" s="10" t="str">
        <x:f>IF(OR(A117="",B117=""),"",IF(COUNTIFS($A$8:$A$507,A117,$B$8:$B$507,B117)&gt;1,"ثبت تکراری",""))</x:f>
      </x:c>
      <x:c r="W117" s="9"/>
    </x:row>
    <x:row r="118" ht="25" customHeight="1">
      <x:c r="A118" s="11"/>
      <x:c r="B118" s="11"/>
      <x:c r="C118" s="11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3" t="str">
        <x:f>IF(COUNT(D118:E118)=2,SUM(D118:E118),"")</x:f>
      </x:c>
      <x:c r="P118" s="13" t="str">
        <x:f>IF(COUNT(H118:I118)=2,SUM(H118:I118),"")</x:f>
      </x:c>
      <x:c r="Q118" s="13" t="str">
        <x:f>IF(AND(ISNUMBER(O118),COUNT(L118:N118)=3),O118+L118-M118-N118,"")</x:f>
      </x:c>
      <x:c r="R118" s="13" t="str">
        <x:f>IF(AND(A118&lt;&gt;"",B118&lt;&gt;"",ISNUMBER(P118),ISNUMBER(Q118)),P118-Q118,"")</x:f>
      </x:c>
      <x:c r="S118" s="13" t="str">
        <x:f>IF(COUNT(H118,J118)=2,J118-H118,"")</x:f>
      </x:c>
      <x:c r="T118" s="13" t="str">
        <x:f>IF(COUNT(I118,K118)=2,K118-I118,"")</x:f>
      </x:c>
      <x:c r="U118" s="10" t="str">
        <x:f>IF(NOT(OR(A118&lt;&gt;"",B118&lt;&gt;"",COUNT(D118:N118)&gt;0)),"",IF(OR(A118="",B118="",COUNT(D118:E118,H118:I118,L118:N118)&lt;&gt;7),"ناقص",IF(OR(MIN(D118:E118,H118:I118,L118:N118)&lt;0,Q118&lt;0),"ورودی نامعتبر",IF(R118&lt;0,"کسری",IF(R118&gt;0,"اضافه","بدون مغایرت")))))</x:f>
      </x:c>
      <x:c r="V118" s="10" t="str">
        <x:f>IF(OR(A118="",B118=""),"",IF(COUNTIFS($A$8:$A$507,A118,$B$8:$B$507,B118)&gt;1,"ثبت تکراری",""))</x:f>
      </x:c>
      <x:c r="W118" s="9"/>
    </x:row>
    <x:row r="119" ht="25" customHeight="1">
      <x:c r="A119" s="11"/>
      <x:c r="B119" s="11"/>
      <x:c r="C119" s="11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3" t="str">
        <x:f>IF(COUNT(D119:E119)=2,SUM(D119:E119),"")</x:f>
      </x:c>
      <x:c r="P119" s="13" t="str">
        <x:f>IF(COUNT(H119:I119)=2,SUM(H119:I119),"")</x:f>
      </x:c>
      <x:c r="Q119" s="13" t="str">
        <x:f>IF(AND(ISNUMBER(O119),COUNT(L119:N119)=3),O119+L119-M119-N119,"")</x:f>
      </x:c>
      <x:c r="R119" s="13" t="str">
        <x:f>IF(AND(A119&lt;&gt;"",B119&lt;&gt;"",ISNUMBER(P119),ISNUMBER(Q119)),P119-Q119,"")</x:f>
      </x:c>
      <x:c r="S119" s="13" t="str">
        <x:f>IF(COUNT(H119,J119)=2,J119-H119,"")</x:f>
      </x:c>
      <x:c r="T119" s="13" t="str">
        <x:f>IF(COUNT(I119,K119)=2,K119-I119,"")</x:f>
      </x:c>
      <x:c r="U119" s="10" t="str">
        <x:f>IF(NOT(OR(A119&lt;&gt;"",B119&lt;&gt;"",COUNT(D119:N119)&gt;0)),"",IF(OR(A119="",B119="",COUNT(D119:E119,H119:I119,L119:N119)&lt;&gt;7),"ناقص",IF(OR(MIN(D119:E119,H119:I119,L119:N119)&lt;0,Q119&lt;0),"ورودی نامعتبر",IF(R119&lt;0,"کسری",IF(R119&gt;0,"اضافه","بدون مغایرت")))))</x:f>
      </x:c>
      <x:c r="V119" s="10" t="str">
        <x:f>IF(OR(A119="",B119=""),"",IF(COUNTIFS($A$8:$A$507,A119,$B$8:$B$507,B119)&gt;1,"ثبت تکراری",""))</x:f>
      </x:c>
      <x:c r="W119" s="9"/>
    </x:row>
    <x:row r="120" ht="25" customHeight="1">
      <x:c r="A120" s="11"/>
      <x:c r="B120" s="11"/>
      <x:c r="C120" s="11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3" t="str">
        <x:f>IF(COUNT(D120:E120)=2,SUM(D120:E120),"")</x:f>
      </x:c>
      <x:c r="P120" s="13" t="str">
        <x:f>IF(COUNT(H120:I120)=2,SUM(H120:I120),"")</x:f>
      </x:c>
      <x:c r="Q120" s="13" t="str">
        <x:f>IF(AND(ISNUMBER(O120),COUNT(L120:N120)=3),O120+L120-M120-N120,"")</x:f>
      </x:c>
      <x:c r="R120" s="13" t="str">
        <x:f>IF(AND(A120&lt;&gt;"",B120&lt;&gt;"",ISNUMBER(P120),ISNUMBER(Q120)),P120-Q120,"")</x:f>
      </x:c>
      <x:c r="S120" s="13" t="str">
        <x:f>IF(COUNT(H120,J120)=2,J120-H120,"")</x:f>
      </x:c>
      <x:c r="T120" s="13" t="str">
        <x:f>IF(COUNT(I120,K120)=2,K120-I120,"")</x:f>
      </x:c>
      <x:c r="U120" s="10" t="str">
        <x:f>IF(NOT(OR(A120&lt;&gt;"",B120&lt;&gt;"",COUNT(D120:N120)&gt;0)),"",IF(OR(A120="",B120="",COUNT(D120:E120,H120:I120,L120:N120)&lt;&gt;7),"ناقص",IF(OR(MIN(D120:E120,H120:I120,L120:N120)&lt;0,Q120&lt;0),"ورودی نامعتبر",IF(R120&lt;0,"کسری",IF(R120&gt;0,"اضافه","بدون مغایرت")))))</x:f>
      </x:c>
      <x:c r="V120" s="10" t="str">
        <x:f>IF(OR(A120="",B120=""),"",IF(COUNTIFS($A$8:$A$507,A120,$B$8:$B$507,B120)&gt;1,"ثبت تکراری",""))</x:f>
      </x:c>
      <x:c r="W120" s="9"/>
    </x:row>
    <x:row r="121" ht="25" customHeight="1">
      <x:c r="A121" s="11"/>
      <x:c r="B121" s="11"/>
      <x:c r="C121" s="11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3" t="str">
        <x:f>IF(COUNT(D121:E121)=2,SUM(D121:E121),"")</x:f>
      </x:c>
      <x:c r="P121" s="13" t="str">
        <x:f>IF(COUNT(H121:I121)=2,SUM(H121:I121),"")</x:f>
      </x:c>
      <x:c r="Q121" s="13" t="str">
        <x:f>IF(AND(ISNUMBER(O121),COUNT(L121:N121)=3),O121+L121-M121-N121,"")</x:f>
      </x:c>
      <x:c r="R121" s="13" t="str">
        <x:f>IF(AND(A121&lt;&gt;"",B121&lt;&gt;"",ISNUMBER(P121),ISNUMBER(Q121)),P121-Q121,"")</x:f>
      </x:c>
      <x:c r="S121" s="13" t="str">
        <x:f>IF(COUNT(H121,J121)=2,J121-H121,"")</x:f>
      </x:c>
      <x:c r="T121" s="13" t="str">
        <x:f>IF(COUNT(I121,K121)=2,K121-I121,"")</x:f>
      </x:c>
      <x:c r="U121" s="10" t="str">
        <x:f>IF(NOT(OR(A121&lt;&gt;"",B121&lt;&gt;"",COUNT(D121:N121)&gt;0)),"",IF(OR(A121="",B121="",COUNT(D121:E121,H121:I121,L121:N121)&lt;&gt;7),"ناقص",IF(OR(MIN(D121:E121,H121:I121,L121:N121)&lt;0,Q121&lt;0),"ورودی نامعتبر",IF(R121&lt;0,"کسری",IF(R121&gt;0,"اضافه","بدون مغایرت")))))</x:f>
      </x:c>
      <x:c r="V121" s="10" t="str">
        <x:f>IF(OR(A121="",B121=""),"",IF(COUNTIFS($A$8:$A$507,A121,$B$8:$B$507,B121)&gt;1,"ثبت تکراری",""))</x:f>
      </x:c>
      <x:c r="W121" s="9"/>
    </x:row>
    <x:row r="122" ht="25" customHeight="1">
      <x:c r="A122" s="11"/>
      <x:c r="B122" s="11"/>
      <x:c r="C122" s="11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3" t="str">
        <x:f>IF(COUNT(D122:E122)=2,SUM(D122:E122),"")</x:f>
      </x:c>
      <x:c r="P122" s="13" t="str">
        <x:f>IF(COUNT(H122:I122)=2,SUM(H122:I122),"")</x:f>
      </x:c>
      <x:c r="Q122" s="13" t="str">
        <x:f>IF(AND(ISNUMBER(O122),COUNT(L122:N122)=3),O122+L122-M122-N122,"")</x:f>
      </x:c>
      <x:c r="R122" s="13" t="str">
        <x:f>IF(AND(A122&lt;&gt;"",B122&lt;&gt;"",ISNUMBER(P122),ISNUMBER(Q122)),P122-Q122,"")</x:f>
      </x:c>
      <x:c r="S122" s="13" t="str">
        <x:f>IF(COUNT(H122,J122)=2,J122-H122,"")</x:f>
      </x:c>
      <x:c r="T122" s="13" t="str">
        <x:f>IF(COUNT(I122,K122)=2,K122-I122,"")</x:f>
      </x:c>
      <x:c r="U122" s="10" t="str">
        <x:f>IF(NOT(OR(A122&lt;&gt;"",B122&lt;&gt;"",COUNT(D122:N122)&gt;0)),"",IF(OR(A122="",B122="",COUNT(D122:E122,H122:I122,L122:N122)&lt;&gt;7),"ناقص",IF(OR(MIN(D122:E122,H122:I122,L122:N122)&lt;0,Q122&lt;0),"ورودی نامعتبر",IF(R122&lt;0,"کسری",IF(R122&gt;0,"اضافه","بدون مغایرت")))))</x:f>
      </x:c>
      <x:c r="V122" s="10" t="str">
        <x:f>IF(OR(A122="",B122=""),"",IF(COUNTIFS($A$8:$A$507,A122,$B$8:$B$507,B122)&gt;1,"ثبت تکراری",""))</x:f>
      </x:c>
      <x:c r="W122" s="9"/>
    </x:row>
    <x:row r="123" ht="25" customHeight="1">
      <x:c r="A123" s="11"/>
      <x:c r="B123" s="11"/>
      <x:c r="C123" s="11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3" t="str">
        <x:f>IF(COUNT(D123:E123)=2,SUM(D123:E123),"")</x:f>
      </x:c>
      <x:c r="P123" s="13" t="str">
        <x:f>IF(COUNT(H123:I123)=2,SUM(H123:I123),"")</x:f>
      </x:c>
      <x:c r="Q123" s="13" t="str">
        <x:f>IF(AND(ISNUMBER(O123),COUNT(L123:N123)=3),O123+L123-M123-N123,"")</x:f>
      </x:c>
      <x:c r="R123" s="13" t="str">
        <x:f>IF(AND(A123&lt;&gt;"",B123&lt;&gt;"",ISNUMBER(P123),ISNUMBER(Q123)),P123-Q123,"")</x:f>
      </x:c>
      <x:c r="S123" s="13" t="str">
        <x:f>IF(COUNT(H123,J123)=2,J123-H123,"")</x:f>
      </x:c>
      <x:c r="T123" s="13" t="str">
        <x:f>IF(COUNT(I123,K123)=2,K123-I123,"")</x:f>
      </x:c>
      <x:c r="U123" s="10" t="str">
        <x:f>IF(NOT(OR(A123&lt;&gt;"",B123&lt;&gt;"",COUNT(D123:N123)&gt;0)),"",IF(OR(A123="",B123="",COUNT(D123:E123,H123:I123,L123:N123)&lt;&gt;7),"ناقص",IF(OR(MIN(D123:E123,H123:I123,L123:N123)&lt;0,Q123&lt;0),"ورودی نامعتبر",IF(R123&lt;0,"کسری",IF(R123&gt;0,"اضافه","بدون مغایرت")))))</x:f>
      </x:c>
      <x:c r="V123" s="10" t="str">
        <x:f>IF(OR(A123="",B123=""),"",IF(COUNTIFS($A$8:$A$507,A123,$B$8:$B$507,B123)&gt;1,"ثبت تکراری",""))</x:f>
      </x:c>
      <x:c r="W123" s="9"/>
    </x:row>
    <x:row r="124" ht="25" customHeight="1">
      <x:c r="A124" s="11"/>
      <x:c r="B124" s="11"/>
      <x:c r="C124" s="11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3" t="str">
        <x:f>IF(COUNT(D124:E124)=2,SUM(D124:E124),"")</x:f>
      </x:c>
      <x:c r="P124" s="13" t="str">
        <x:f>IF(COUNT(H124:I124)=2,SUM(H124:I124),"")</x:f>
      </x:c>
      <x:c r="Q124" s="13" t="str">
        <x:f>IF(AND(ISNUMBER(O124),COUNT(L124:N124)=3),O124+L124-M124-N124,"")</x:f>
      </x:c>
      <x:c r="R124" s="13" t="str">
        <x:f>IF(AND(A124&lt;&gt;"",B124&lt;&gt;"",ISNUMBER(P124),ISNUMBER(Q124)),P124-Q124,"")</x:f>
      </x:c>
      <x:c r="S124" s="13" t="str">
        <x:f>IF(COUNT(H124,J124)=2,J124-H124,"")</x:f>
      </x:c>
      <x:c r="T124" s="13" t="str">
        <x:f>IF(COUNT(I124,K124)=2,K124-I124,"")</x:f>
      </x:c>
      <x:c r="U124" s="10" t="str">
        <x:f>IF(NOT(OR(A124&lt;&gt;"",B124&lt;&gt;"",COUNT(D124:N124)&gt;0)),"",IF(OR(A124="",B124="",COUNT(D124:E124,H124:I124,L124:N124)&lt;&gt;7),"ناقص",IF(OR(MIN(D124:E124,H124:I124,L124:N124)&lt;0,Q124&lt;0),"ورودی نامعتبر",IF(R124&lt;0,"کسری",IF(R124&gt;0,"اضافه","بدون مغایرت")))))</x:f>
      </x:c>
      <x:c r="V124" s="10" t="str">
        <x:f>IF(OR(A124="",B124=""),"",IF(COUNTIFS($A$8:$A$507,A124,$B$8:$B$507,B124)&gt;1,"ثبت تکراری",""))</x:f>
      </x:c>
      <x:c r="W124" s="9"/>
    </x:row>
    <x:row r="125" ht="25" customHeight="1">
      <x:c r="A125" s="11"/>
      <x:c r="B125" s="11"/>
      <x:c r="C125" s="11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3" t="str">
        <x:f>IF(COUNT(D125:E125)=2,SUM(D125:E125),"")</x:f>
      </x:c>
      <x:c r="P125" s="13" t="str">
        <x:f>IF(COUNT(H125:I125)=2,SUM(H125:I125),"")</x:f>
      </x:c>
      <x:c r="Q125" s="13" t="str">
        <x:f>IF(AND(ISNUMBER(O125),COUNT(L125:N125)=3),O125+L125-M125-N125,"")</x:f>
      </x:c>
      <x:c r="R125" s="13" t="str">
        <x:f>IF(AND(A125&lt;&gt;"",B125&lt;&gt;"",ISNUMBER(P125),ISNUMBER(Q125)),P125-Q125,"")</x:f>
      </x:c>
      <x:c r="S125" s="13" t="str">
        <x:f>IF(COUNT(H125,J125)=2,J125-H125,"")</x:f>
      </x:c>
      <x:c r="T125" s="13" t="str">
        <x:f>IF(COUNT(I125,K125)=2,K125-I125,"")</x:f>
      </x:c>
      <x:c r="U125" s="10" t="str">
        <x:f>IF(NOT(OR(A125&lt;&gt;"",B125&lt;&gt;"",COUNT(D125:N125)&gt;0)),"",IF(OR(A125="",B125="",COUNT(D125:E125,H125:I125,L125:N125)&lt;&gt;7),"ناقص",IF(OR(MIN(D125:E125,H125:I125,L125:N125)&lt;0,Q125&lt;0),"ورودی نامعتبر",IF(R125&lt;0,"کسری",IF(R125&gt;0,"اضافه","بدون مغایرت")))))</x:f>
      </x:c>
      <x:c r="V125" s="10" t="str">
        <x:f>IF(OR(A125="",B125=""),"",IF(COUNTIFS($A$8:$A$507,A125,$B$8:$B$507,B125)&gt;1,"ثبت تکراری",""))</x:f>
      </x:c>
      <x:c r="W125" s="9"/>
    </x:row>
    <x:row r="126" ht="25" customHeight="1">
      <x:c r="A126" s="11"/>
      <x:c r="B126" s="11"/>
      <x:c r="C126" s="11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3" t="str">
        <x:f>IF(COUNT(D126:E126)=2,SUM(D126:E126),"")</x:f>
      </x:c>
      <x:c r="P126" s="13" t="str">
        <x:f>IF(COUNT(H126:I126)=2,SUM(H126:I126),"")</x:f>
      </x:c>
      <x:c r="Q126" s="13" t="str">
        <x:f>IF(AND(ISNUMBER(O126),COUNT(L126:N126)=3),O126+L126-M126-N126,"")</x:f>
      </x:c>
      <x:c r="R126" s="13" t="str">
        <x:f>IF(AND(A126&lt;&gt;"",B126&lt;&gt;"",ISNUMBER(P126),ISNUMBER(Q126)),P126-Q126,"")</x:f>
      </x:c>
      <x:c r="S126" s="13" t="str">
        <x:f>IF(COUNT(H126,J126)=2,J126-H126,"")</x:f>
      </x:c>
      <x:c r="T126" s="13" t="str">
        <x:f>IF(COUNT(I126,K126)=2,K126-I126,"")</x:f>
      </x:c>
      <x:c r="U126" s="10" t="str">
        <x:f>IF(NOT(OR(A126&lt;&gt;"",B126&lt;&gt;"",COUNT(D126:N126)&gt;0)),"",IF(OR(A126="",B126="",COUNT(D126:E126,H126:I126,L126:N126)&lt;&gt;7),"ناقص",IF(OR(MIN(D126:E126,H126:I126,L126:N126)&lt;0,Q126&lt;0),"ورودی نامعتبر",IF(R126&lt;0,"کسری",IF(R126&gt;0,"اضافه","بدون مغایرت")))))</x:f>
      </x:c>
      <x:c r="V126" s="10" t="str">
        <x:f>IF(OR(A126="",B126=""),"",IF(COUNTIFS($A$8:$A$507,A126,$B$8:$B$507,B126)&gt;1,"ثبت تکراری",""))</x:f>
      </x:c>
      <x:c r="W126" s="9"/>
    </x:row>
    <x:row r="127" ht="25" customHeight="1">
      <x:c r="A127" s="11"/>
      <x:c r="B127" s="11"/>
      <x:c r="C127" s="11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3" t="str">
        <x:f>IF(COUNT(D127:E127)=2,SUM(D127:E127),"")</x:f>
      </x:c>
      <x:c r="P127" s="13" t="str">
        <x:f>IF(COUNT(H127:I127)=2,SUM(H127:I127),"")</x:f>
      </x:c>
      <x:c r="Q127" s="13" t="str">
        <x:f>IF(AND(ISNUMBER(O127),COUNT(L127:N127)=3),O127+L127-M127-N127,"")</x:f>
      </x:c>
      <x:c r="R127" s="13" t="str">
        <x:f>IF(AND(A127&lt;&gt;"",B127&lt;&gt;"",ISNUMBER(P127),ISNUMBER(Q127)),P127-Q127,"")</x:f>
      </x:c>
      <x:c r="S127" s="13" t="str">
        <x:f>IF(COUNT(H127,J127)=2,J127-H127,"")</x:f>
      </x:c>
      <x:c r="T127" s="13" t="str">
        <x:f>IF(COUNT(I127,K127)=2,K127-I127,"")</x:f>
      </x:c>
      <x:c r="U127" s="10" t="str">
        <x:f>IF(NOT(OR(A127&lt;&gt;"",B127&lt;&gt;"",COUNT(D127:N127)&gt;0)),"",IF(OR(A127="",B127="",COUNT(D127:E127,H127:I127,L127:N127)&lt;&gt;7),"ناقص",IF(OR(MIN(D127:E127,H127:I127,L127:N127)&lt;0,Q127&lt;0),"ورودی نامعتبر",IF(R127&lt;0,"کسری",IF(R127&gt;0,"اضافه","بدون مغایرت")))))</x:f>
      </x:c>
      <x:c r="V127" s="10" t="str">
        <x:f>IF(OR(A127="",B127=""),"",IF(COUNTIFS($A$8:$A$507,A127,$B$8:$B$507,B127)&gt;1,"ثبت تکراری",""))</x:f>
      </x:c>
      <x:c r="W127" s="9"/>
    </x:row>
    <x:row r="128" ht="25" customHeight="1">
      <x:c r="A128" s="11"/>
      <x:c r="B128" s="11"/>
      <x:c r="C128" s="11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3" t="str">
        <x:f>IF(COUNT(D128:E128)=2,SUM(D128:E128),"")</x:f>
      </x:c>
      <x:c r="P128" s="13" t="str">
        <x:f>IF(COUNT(H128:I128)=2,SUM(H128:I128),"")</x:f>
      </x:c>
      <x:c r="Q128" s="13" t="str">
        <x:f>IF(AND(ISNUMBER(O128),COUNT(L128:N128)=3),O128+L128-M128-N128,"")</x:f>
      </x:c>
      <x:c r="R128" s="13" t="str">
        <x:f>IF(AND(A128&lt;&gt;"",B128&lt;&gt;"",ISNUMBER(P128),ISNUMBER(Q128)),P128-Q128,"")</x:f>
      </x:c>
      <x:c r="S128" s="13" t="str">
        <x:f>IF(COUNT(H128,J128)=2,J128-H128,"")</x:f>
      </x:c>
      <x:c r="T128" s="13" t="str">
        <x:f>IF(COUNT(I128,K128)=2,K128-I128,"")</x:f>
      </x:c>
      <x:c r="U128" s="10" t="str">
        <x:f>IF(NOT(OR(A128&lt;&gt;"",B128&lt;&gt;"",COUNT(D128:N128)&gt;0)),"",IF(OR(A128="",B128="",COUNT(D128:E128,H128:I128,L128:N128)&lt;&gt;7),"ناقص",IF(OR(MIN(D128:E128,H128:I128,L128:N128)&lt;0,Q128&lt;0),"ورودی نامعتبر",IF(R128&lt;0,"کسری",IF(R128&gt;0,"اضافه","بدون مغایرت")))))</x:f>
      </x:c>
      <x:c r="V128" s="10" t="str">
        <x:f>IF(OR(A128="",B128=""),"",IF(COUNTIFS($A$8:$A$507,A128,$B$8:$B$507,B128)&gt;1,"ثبت تکراری",""))</x:f>
      </x:c>
      <x:c r="W128" s="9"/>
    </x:row>
    <x:row r="129" ht="25" customHeight="1">
      <x:c r="A129" s="11"/>
      <x:c r="B129" s="11"/>
      <x:c r="C129" s="11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3" t="str">
        <x:f>IF(COUNT(D129:E129)=2,SUM(D129:E129),"")</x:f>
      </x:c>
      <x:c r="P129" s="13" t="str">
        <x:f>IF(COUNT(H129:I129)=2,SUM(H129:I129),"")</x:f>
      </x:c>
      <x:c r="Q129" s="13" t="str">
        <x:f>IF(AND(ISNUMBER(O129),COUNT(L129:N129)=3),O129+L129-M129-N129,"")</x:f>
      </x:c>
      <x:c r="R129" s="13" t="str">
        <x:f>IF(AND(A129&lt;&gt;"",B129&lt;&gt;"",ISNUMBER(P129),ISNUMBER(Q129)),P129-Q129,"")</x:f>
      </x:c>
      <x:c r="S129" s="13" t="str">
        <x:f>IF(COUNT(H129,J129)=2,J129-H129,"")</x:f>
      </x:c>
      <x:c r="T129" s="13" t="str">
        <x:f>IF(COUNT(I129,K129)=2,K129-I129,"")</x:f>
      </x:c>
      <x:c r="U129" s="10" t="str">
        <x:f>IF(NOT(OR(A129&lt;&gt;"",B129&lt;&gt;"",COUNT(D129:N129)&gt;0)),"",IF(OR(A129="",B129="",COUNT(D129:E129,H129:I129,L129:N129)&lt;&gt;7),"ناقص",IF(OR(MIN(D129:E129,H129:I129,L129:N129)&lt;0,Q129&lt;0),"ورودی نامعتبر",IF(R129&lt;0,"کسری",IF(R129&gt;0,"اضافه","بدون مغایرت")))))</x:f>
      </x:c>
      <x:c r="V129" s="10" t="str">
        <x:f>IF(OR(A129="",B129=""),"",IF(COUNTIFS($A$8:$A$507,A129,$B$8:$B$507,B129)&gt;1,"ثبت تکراری",""))</x:f>
      </x:c>
      <x:c r="W129" s="9"/>
    </x:row>
    <x:row r="130" ht="25" customHeight="1">
      <x:c r="A130" s="11"/>
      <x:c r="B130" s="11"/>
      <x:c r="C130" s="11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3" t="str">
        <x:f>IF(COUNT(D130:E130)=2,SUM(D130:E130),"")</x:f>
      </x:c>
      <x:c r="P130" s="13" t="str">
        <x:f>IF(COUNT(H130:I130)=2,SUM(H130:I130),"")</x:f>
      </x:c>
      <x:c r="Q130" s="13" t="str">
        <x:f>IF(AND(ISNUMBER(O130),COUNT(L130:N130)=3),O130+L130-M130-N130,"")</x:f>
      </x:c>
      <x:c r="R130" s="13" t="str">
        <x:f>IF(AND(A130&lt;&gt;"",B130&lt;&gt;"",ISNUMBER(P130),ISNUMBER(Q130)),P130-Q130,"")</x:f>
      </x:c>
      <x:c r="S130" s="13" t="str">
        <x:f>IF(COUNT(H130,J130)=2,J130-H130,"")</x:f>
      </x:c>
      <x:c r="T130" s="13" t="str">
        <x:f>IF(COUNT(I130,K130)=2,K130-I130,"")</x:f>
      </x:c>
      <x:c r="U130" s="10" t="str">
        <x:f>IF(NOT(OR(A130&lt;&gt;"",B130&lt;&gt;"",COUNT(D130:N130)&gt;0)),"",IF(OR(A130="",B130="",COUNT(D130:E130,H130:I130,L130:N130)&lt;&gt;7),"ناقص",IF(OR(MIN(D130:E130,H130:I130,L130:N130)&lt;0,Q130&lt;0),"ورودی نامعتبر",IF(R130&lt;0,"کسری",IF(R130&gt;0,"اضافه","بدون مغایرت")))))</x:f>
      </x:c>
      <x:c r="V130" s="10" t="str">
        <x:f>IF(OR(A130="",B130=""),"",IF(COUNTIFS($A$8:$A$507,A130,$B$8:$B$507,B130)&gt;1,"ثبت تکراری",""))</x:f>
      </x:c>
      <x:c r="W130" s="9"/>
    </x:row>
    <x:row r="131" ht="25" customHeight="1">
      <x:c r="A131" s="11"/>
      <x:c r="B131" s="11"/>
      <x:c r="C131" s="11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3" t="str">
        <x:f>IF(COUNT(D131:E131)=2,SUM(D131:E131),"")</x:f>
      </x:c>
      <x:c r="P131" s="13" t="str">
        <x:f>IF(COUNT(H131:I131)=2,SUM(H131:I131),"")</x:f>
      </x:c>
      <x:c r="Q131" s="13" t="str">
        <x:f>IF(AND(ISNUMBER(O131),COUNT(L131:N131)=3),O131+L131-M131-N131,"")</x:f>
      </x:c>
      <x:c r="R131" s="13" t="str">
        <x:f>IF(AND(A131&lt;&gt;"",B131&lt;&gt;"",ISNUMBER(P131),ISNUMBER(Q131)),P131-Q131,"")</x:f>
      </x:c>
      <x:c r="S131" s="13" t="str">
        <x:f>IF(COUNT(H131,J131)=2,J131-H131,"")</x:f>
      </x:c>
      <x:c r="T131" s="13" t="str">
        <x:f>IF(COUNT(I131,K131)=2,K131-I131,"")</x:f>
      </x:c>
      <x:c r="U131" s="10" t="str">
        <x:f>IF(NOT(OR(A131&lt;&gt;"",B131&lt;&gt;"",COUNT(D131:N131)&gt;0)),"",IF(OR(A131="",B131="",COUNT(D131:E131,H131:I131,L131:N131)&lt;&gt;7),"ناقص",IF(OR(MIN(D131:E131,H131:I131,L131:N131)&lt;0,Q131&lt;0),"ورودی نامعتبر",IF(R131&lt;0,"کسری",IF(R131&gt;0,"اضافه","بدون مغایرت")))))</x:f>
      </x:c>
      <x:c r="V131" s="10" t="str">
        <x:f>IF(OR(A131="",B131=""),"",IF(COUNTIFS($A$8:$A$507,A131,$B$8:$B$507,B131)&gt;1,"ثبت تکراری",""))</x:f>
      </x:c>
      <x:c r="W131" s="9"/>
    </x:row>
    <x:row r="132" ht="25" customHeight="1">
      <x:c r="A132" s="11"/>
      <x:c r="B132" s="11"/>
      <x:c r="C132" s="11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3" t="str">
        <x:f>IF(COUNT(D132:E132)=2,SUM(D132:E132),"")</x:f>
      </x:c>
      <x:c r="P132" s="13" t="str">
        <x:f>IF(COUNT(H132:I132)=2,SUM(H132:I132),"")</x:f>
      </x:c>
      <x:c r="Q132" s="13" t="str">
        <x:f>IF(AND(ISNUMBER(O132),COUNT(L132:N132)=3),O132+L132-M132-N132,"")</x:f>
      </x:c>
      <x:c r="R132" s="13" t="str">
        <x:f>IF(AND(A132&lt;&gt;"",B132&lt;&gt;"",ISNUMBER(P132),ISNUMBER(Q132)),P132-Q132,"")</x:f>
      </x:c>
      <x:c r="S132" s="13" t="str">
        <x:f>IF(COUNT(H132,J132)=2,J132-H132,"")</x:f>
      </x:c>
      <x:c r="T132" s="13" t="str">
        <x:f>IF(COUNT(I132,K132)=2,K132-I132,"")</x:f>
      </x:c>
      <x:c r="U132" s="10" t="str">
        <x:f>IF(NOT(OR(A132&lt;&gt;"",B132&lt;&gt;"",COUNT(D132:N132)&gt;0)),"",IF(OR(A132="",B132="",COUNT(D132:E132,H132:I132,L132:N132)&lt;&gt;7),"ناقص",IF(OR(MIN(D132:E132,H132:I132,L132:N132)&lt;0,Q132&lt;0),"ورودی نامعتبر",IF(R132&lt;0,"کسری",IF(R132&gt;0,"اضافه","بدون مغایرت")))))</x:f>
      </x:c>
      <x:c r="V132" s="10" t="str">
        <x:f>IF(OR(A132="",B132=""),"",IF(COUNTIFS($A$8:$A$507,A132,$B$8:$B$507,B132)&gt;1,"ثبت تکراری",""))</x:f>
      </x:c>
      <x:c r="W132" s="9"/>
    </x:row>
    <x:row r="133" ht="25" customHeight="1">
      <x:c r="A133" s="11"/>
      <x:c r="B133" s="11"/>
      <x:c r="C133" s="11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3" t="str">
        <x:f>IF(COUNT(D133:E133)=2,SUM(D133:E133),"")</x:f>
      </x:c>
      <x:c r="P133" s="13" t="str">
        <x:f>IF(COUNT(H133:I133)=2,SUM(H133:I133),"")</x:f>
      </x:c>
      <x:c r="Q133" s="13" t="str">
        <x:f>IF(AND(ISNUMBER(O133),COUNT(L133:N133)=3),O133+L133-M133-N133,"")</x:f>
      </x:c>
      <x:c r="R133" s="13" t="str">
        <x:f>IF(AND(A133&lt;&gt;"",B133&lt;&gt;"",ISNUMBER(P133),ISNUMBER(Q133)),P133-Q133,"")</x:f>
      </x:c>
      <x:c r="S133" s="13" t="str">
        <x:f>IF(COUNT(H133,J133)=2,J133-H133,"")</x:f>
      </x:c>
      <x:c r="T133" s="13" t="str">
        <x:f>IF(COUNT(I133,K133)=2,K133-I133,"")</x:f>
      </x:c>
      <x:c r="U133" s="10" t="str">
        <x:f>IF(NOT(OR(A133&lt;&gt;"",B133&lt;&gt;"",COUNT(D133:N133)&gt;0)),"",IF(OR(A133="",B133="",COUNT(D133:E133,H133:I133,L133:N133)&lt;&gt;7),"ناقص",IF(OR(MIN(D133:E133,H133:I133,L133:N133)&lt;0,Q133&lt;0),"ورودی نامعتبر",IF(R133&lt;0,"کسری",IF(R133&gt;0,"اضافه","بدون مغایرت")))))</x:f>
      </x:c>
      <x:c r="V133" s="10" t="str">
        <x:f>IF(OR(A133="",B133=""),"",IF(COUNTIFS($A$8:$A$507,A133,$B$8:$B$507,B133)&gt;1,"ثبت تکراری",""))</x:f>
      </x:c>
      <x:c r="W133" s="9"/>
    </x:row>
    <x:row r="134" ht="25" customHeight="1">
      <x:c r="A134" s="11"/>
      <x:c r="B134" s="11"/>
      <x:c r="C134" s="11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3" t="str">
        <x:f>IF(COUNT(D134:E134)=2,SUM(D134:E134),"")</x:f>
      </x:c>
      <x:c r="P134" s="13" t="str">
        <x:f>IF(COUNT(H134:I134)=2,SUM(H134:I134),"")</x:f>
      </x:c>
      <x:c r="Q134" s="13" t="str">
        <x:f>IF(AND(ISNUMBER(O134),COUNT(L134:N134)=3),O134+L134-M134-N134,"")</x:f>
      </x:c>
      <x:c r="R134" s="13" t="str">
        <x:f>IF(AND(A134&lt;&gt;"",B134&lt;&gt;"",ISNUMBER(P134),ISNUMBER(Q134)),P134-Q134,"")</x:f>
      </x:c>
      <x:c r="S134" s="13" t="str">
        <x:f>IF(COUNT(H134,J134)=2,J134-H134,"")</x:f>
      </x:c>
      <x:c r="T134" s="13" t="str">
        <x:f>IF(COUNT(I134,K134)=2,K134-I134,"")</x:f>
      </x:c>
      <x:c r="U134" s="10" t="str">
        <x:f>IF(NOT(OR(A134&lt;&gt;"",B134&lt;&gt;"",COUNT(D134:N134)&gt;0)),"",IF(OR(A134="",B134="",COUNT(D134:E134,H134:I134,L134:N134)&lt;&gt;7),"ناقص",IF(OR(MIN(D134:E134,H134:I134,L134:N134)&lt;0,Q134&lt;0),"ورودی نامعتبر",IF(R134&lt;0,"کسری",IF(R134&gt;0,"اضافه","بدون مغایرت")))))</x:f>
      </x:c>
      <x:c r="V134" s="10" t="str">
        <x:f>IF(OR(A134="",B134=""),"",IF(COUNTIFS($A$8:$A$507,A134,$B$8:$B$507,B134)&gt;1,"ثبت تکراری",""))</x:f>
      </x:c>
      <x:c r="W134" s="9"/>
    </x:row>
    <x:row r="135" ht="25" customHeight="1">
      <x:c r="A135" s="11"/>
      <x:c r="B135" s="11"/>
      <x:c r="C135" s="11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3" t="str">
        <x:f>IF(COUNT(D135:E135)=2,SUM(D135:E135),"")</x:f>
      </x:c>
      <x:c r="P135" s="13" t="str">
        <x:f>IF(COUNT(H135:I135)=2,SUM(H135:I135),"")</x:f>
      </x:c>
      <x:c r="Q135" s="13" t="str">
        <x:f>IF(AND(ISNUMBER(O135),COUNT(L135:N135)=3),O135+L135-M135-N135,"")</x:f>
      </x:c>
      <x:c r="R135" s="13" t="str">
        <x:f>IF(AND(A135&lt;&gt;"",B135&lt;&gt;"",ISNUMBER(P135),ISNUMBER(Q135)),P135-Q135,"")</x:f>
      </x:c>
      <x:c r="S135" s="13" t="str">
        <x:f>IF(COUNT(H135,J135)=2,J135-H135,"")</x:f>
      </x:c>
      <x:c r="T135" s="13" t="str">
        <x:f>IF(COUNT(I135,K135)=2,K135-I135,"")</x:f>
      </x:c>
      <x:c r="U135" s="10" t="str">
        <x:f>IF(NOT(OR(A135&lt;&gt;"",B135&lt;&gt;"",COUNT(D135:N135)&gt;0)),"",IF(OR(A135="",B135="",COUNT(D135:E135,H135:I135,L135:N135)&lt;&gt;7),"ناقص",IF(OR(MIN(D135:E135,H135:I135,L135:N135)&lt;0,Q135&lt;0),"ورودی نامعتبر",IF(R135&lt;0,"کسری",IF(R135&gt;0,"اضافه","بدون مغایرت")))))</x:f>
      </x:c>
      <x:c r="V135" s="10" t="str">
        <x:f>IF(OR(A135="",B135=""),"",IF(COUNTIFS($A$8:$A$507,A135,$B$8:$B$507,B135)&gt;1,"ثبت تکراری",""))</x:f>
      </x:c>
      <x:c r="W135" s="9"/>
    </x:row>
    <x:row r="136" ht="25" customHeight="1">
      <x:c r="A136" s="11"/>
      <x:c r="B136" s="11"/>
      <x:c r="C136" s="11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3" t="str">
        <x:f>IF(COUNT(D136:E136)=2,SUM(D136:E136),"")</x:f>
      </x:c>
      <x:c r="P136" s="13" t="str">
        <x:f>IF(COUNT(H136:I136)=2,SUM(H136:I136),"")</x:f>
      </x:c>
      <x:c r="Q136" s="13" t="str">
        <x:f>IF(AND(ISNUMBER(O136),COUNT(L136:N136)=3),O136+L136-M136-N136,"")</x:f>
      </x:c>
      <x:c r="R136" s="13" t="str">
        <x:f>IF(AND(A136&lt;&gt;"",B136&lt;&gt;"",ISNUMBER(P136),ISNUMBER(Q136)),P136-Q136,"")</x:f>
      </x:c>
      <x:c r="S136" s="13" t="str">
        <x:f>IF(COUNT(H136,J136)=2,J136-H136,"")</x:f>
      </x:c>
      <x:c r="T136" s="13" t="str">
        <x:f>IF(COUNT(I136,K136)=2,K136-I136,"")</x:f>
      </x:c>
      <x:c r="U136" s="10" t="str">
        <x:f>IF(NOT(OR(A136&lt;&gt;"",B136&lt;&gt;"",COUNT(D136:N136)&gt;0)),"",IF(OR(A136="",B136="",COUNT(D136:E136,H136:I136,L136:N136)&lt;&gt;7),"ناقص",IF(OR(MIN(D136:E136,H136:I136,L136:N136)&lt;0,Q136&lt;0),"ورودی نامعتبر",IF(R136&lt;0,"کسری",IF(R136&gt;0,"اضافه","بدون مغایرت")))))</x:f>
      </x:c>
      <x:c r="V136" s="10" t="str">
        <x:f>IF(OR(A136="",B136=""),"",IF(COUNTIFS($A$8:$A$507,A136,$B$8:$B$507,B136)&gt;1,"ثبت تکراری",""))</x:f>
      </x:c>
      <x:c r="W136" s="9"/>
    </x:row>
    <x:row r="137" ht="25" customHeight="1">
      <x:c r="A137" s="11"/>
      <x:c r="B137" s="11"/>
      <x:c r="C137" s="11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3" t="str">
        <x:f>IF(COUNT(D137:E137)=2,SUM(D137:E137),"")</x:f>
      </x:c>
      <x:c r="P137" s="13" t="str">
        <x:f>IF(COUNT(H137:I137)=2,SUM(H137:I137),"")</x:f>
      </x:c>
      <x:c r="Q137" s="13" t="str">
        <x:f>IF(AND(ISNUMBER(O137),COUNT(L137:N137)=3),O137+L137-M137-N137,"")</x:f>
      </x:c>
      <x:c r="R137" s="13" t="str">
        <x:f>IF(AND(A137&lt;&gt;"",B137&lt;&gt;"",ISNUMBER(P137),ISNUMBER(Q137)),P137-Q137,"")</x:f>
      </x:c>
      <x:c r="S137" s="13" t="str">
        <x:f>IF(COUNT(H137,J137)=2,J137-H137,"")</x:f>
      </x:c>
      <x:c r="T137" s="13" t="str">
        <x:f>IF(COUNT(I137,K137)=2,K137-I137,"")</x:f>
      </x:c>
      <x:c r="U137" s="10" t="str">
        <x:f>IF(NOT(OR(A137&lt;&gt;"",B137&lt;&gt;"",COUNT(D137:N137)&gt;0)),"",IF(OR(A137="",B137="",COUNT(D137:E137,H137:I137,L137:N137)&lt;&gt;7),"ناقص",IF(OR(MIN(D137:E137,H137:I137,L137:N137)&lt;0,Q137&lt;0),"ورودی نامعتبر",IF(R137&lt;0,"کسری",IF(R137&gt;0,"اضافه","بدون مغایرت")))))</x:f>
      </x:c>
      <x:c r="V137" s="10" t="str">
        <x:f>IF(OR(A137="",B137=""),"",IF(COUNTIFS($A$8:$A$507,A137,$B$8:$B$507,B137)&gt;1,"ثبت تکراری",""))</x:f>
      </x:c>
      <x:c r="W137" s="9"/>
    </x:row>
    <x:row r="138" ht="25" customHeight="1">
      <x:c r="A138" s="11"/>
      <x:c r="B138" s="11"/>
      <x:c r="C138" s="11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3" t="str">
        <x:f>IF(COUNT(D138:E138)=2,SUM(D138:E138),"")</x:f>
      </x:c>
      <x:c r="P138" s="13" t="str">
        <x:f>IF(COUNT(H138:I138)=2,SUM(H138:I138),"")</x:f>
      </x:c>
      <x:c r="Q138" s="13" t="str">
        <x:f>IF(AND(ISNUMBER(O138),COUNT(L138:N138)=3),O138+L138-M138-N138,"")</x:f>
      </x:c>
      <x:c r="R138" s="13" t="str">
        <x:f>IF(AND(A138&lt;&gt;"",B138&lt;&gt;"",ISNUMBER(P138),ISNUMBER(Q138)),P138-Q138,"")</x:f>
      </x:c>
      <x:c r="S138" s="13" t="str">
        <x:f>IF(COUNT(H138,J138)=2,J138-H138,"")</x:f>
      </x:c>
      <x:c r="T138" s="13" t="str">
        <x:f>IF(COUNT(I138,K138)=2,K138-I138,"")</x:f>
      </x:c>
      <x:c r="U138" s="10" t="str">
        <x:f>IF(NOT(OR(A138&lt;&gt;"",B138&lt;&gt;"",COUNT(D138:N138)&gt;0)),"",IF(OR(A138="",B138="",COUNT(D138:E138,H138:I138,L138:N138)&lt;&gt;7),"ناقص",IF(OR(MIN(D138:E138,H138:I138,L138:N138)&lt;0,Q138&lt;0),"ورودی نامعتبر",IF(R138&lt;0,"کسری",IF(R138&gt;0,"اضافه","بدون مغایرت")))))</x:f>
      </x:c>
      <x:c r="V138" s="10" t="str">
        <x:f>IF(OR(A138="",B138=""),"",IF(COUNTIFS($A$8:$A$507,A138,$B$8:$B$507,B138)&gt;1,"ثبت تکراری",""))</x:f>
      </x:c>
      <x:c r="W138" s="9"/>
    </x:row>
    <x:row r="139" ht="25" customHeight="1">
      <x:c r="A139" s="11"/>
      <x:c r="B139" s="11"/>
      <x:c r="C139" s="11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3" t="str">
        <x:f>IF(COUNT(D139:E139)=2,SUM(D139:E139),"")</x:f>
      </x:c>
      <x:c r="P139" s="13" t="str">
        <x:f>IF(COUNT(H139:I139)=2,SUM(H139:I139),"")</x:f>
      </x:c>
      <x:c r="Q139" s="13" t="str">
        <x:f>IF(AND(ISNUMBER(O139),COUNT(L139:N139)=3),O139+L139-M139-N139,"")</x:f>
      </x:c>
      <x:c r="R139" s="13" t="str">
        <x:f>IF(AND(A139&lt;&gt;"",B139&lt;&gt;"",ISNUMBER(P139),ISNUMBER(Q139)),P139-Q139,"")</x:f>
      </x:c>
      <x:c r="S139" s="13" t="str">
        <x:f>IF(COUNT(H139,J139)=2,J139-H139,"")</x:f>
      </x:c>
      <x:c r="T139" s="13" t="str">
        <x:f>IF(COUNT(I139,K139)=2,K139-I139,"")</x:f>
      </x:c>
      <x:c r="U139" s="10" t="str">
        <x:f>IF(NOT(OR(A139&lt;&gt;"",B139&lt;&gt;"",COUNT(D139:N139)&gt;0)),"",IF(OR(A139="",B139="",COUNT(D139:E139,H139:I139,L139:N139)&lt;&gt;7),"ناقص",IF(OR(MIN(D139:E139,H139:I139,L139:N139)&lt;0,Q139&lt;0),"ورودی نامعتبر",IF(R139&lt;0,"کسری",IF(R139&gt;0,"اضافه","بدون مغایرت")))))</x:f>
      </x:c>
      <x:c r="V139" s="10" t="str">
        <x:f>IF(OR(A139="",B139=""),"",IF(COUNTIFS($A$8:$A$507,A139,$B$8:$B$507,B139)&gt;1,"ثبت تکراری",""))</x:f>
      </x:c>
      <x:c r="W139" s="9"/>
    </x:row>
    <x:row r="140" ht="25" customHeight="1">
      <x:c r="A140" s="11"/>
      <x:c r="B140" s="11"/>
      <x:c r="C140" s="11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3" t="str">
        <x:f>IF(COUNT(D140:E140)=2,SUM(D140:E140),"")</x:f>
      </x:c>
      <x:c r="P140" s="13" t="str">
        <x:f>IF(COUNT(H140:I140)=2,SUM(H140:I140),"")</x:f>
      </x:c>
      <x:c r="Q140" s="13" t="str">
        <x:f>IF(AND(ISNUMBER(O140),COUNT(L140:N140)=3),O140+L140-M140-N140,"")</x:f>
      </x:c>
      <x:c r="R140" s="13" t="str">
        <x:f>IF(AND(A140&lt;&gt;"",B140&lt;&gt;"",ISNUMBER(P140),ISNUMBER(Q140)),P140-Q140,"")</x:f>
      </x:c>
      <x:c r="S140" s="13" t="str">
        <x:f>IF(COUNT(H140,J140)=2,J140-H140,"")</x:f>
      </x:c>
      <x:c r="T140" s="13" t="str">
        <x:f>IF(COUNT(I140,K140)=2,K140-I140,"")</x:f>
      </x:c>
      <x:c r="U140" s="10" t="str">
        <x:f>IF(NOT(OR(A140&lt;&gt;"",B140&lt;&gt;"",COUNT(D140:N140)&gt;0)),"",IF(OR(A140="",B140="",COUNT(D140:E140,H140:I140,L140:N140)&lt;&gt;7),"ناقص",IF(OR(MIN(D140:E140,H140:I140,L140:N140)&lt;0,Q140&lt;0),"ورودی نامعتبر",IF(R140&lt;0,"کسری",IF(R140&gt;0,"اضافه","بدون مغایرت")))))</x:f>
      </x:c>
      <x:c r="V140" s="10" t="str">
        <x:f>IF(OR(A140="",B140=""),"",IF(COUNTIFS($A$8:$A$507,A140,$B$8:$B$507,B140)&gt;1,"ثبت تکراری",""))</x:f>
      </x:c>
      <x:c r="W140" s="9"/>
    </x:row>
    <x:row r="141" ht="25" customHeight="1">
      <x:c r="A141" s="11"/>
      <x:c r="B141" s="11"/>
      <x:c r="C141" s="11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3" t="str">
        <x:f>IF(COUNT(D141:E141)=2,SUM(D141:E141),"")</x:f>
      </x:c>
      <x:c r="P141" s="13" t="str">
        <x:f>IF(COUNT(H141:I141)=2,SUM(H141:I141),"")</x:f>
      </x:c>
      <x:c r="Q141" s="13" t="str">
        <x:f>IF(AND(ISNUMBER(O141),COUNT(L141:N141)=3),O141+L141-M141-N141,"")</x:f>
      </x:c>
      <x:c r="R141" s="13" t="str">
        <x:f>IF(AND(A141&lt;&gt;"",B141&lt;&gt;"",ISNUMBER(P141),ISNUMBER(Q141)),P141-Q141,"")</x:f>
      </x:c>
      <x:c r="S141" s="13" t="str">
        <x:f>IF(COUNT(H141,J141)=2,J141-H141,"")</x:f>
      </x:c>
      <x:c r="T141" s="13" t="str">
        <x:f>IF(COUNT(I141,K141)=2,K141-I141,"")</x:f>
      </x:c>
      <x:c r="U141" s="10" t="str">
        <x:f>IF(NOT(OR(A141&lt;&gt;"",B141&lt;&gt;"",COUNT(D141:N141)&gt;0)),"",IF(OR(A141="",B141="",COUNT(D141:E141,H141:I141,L141:N141)&lt;&gt;7),"ناقص",IF(OR(MIN(D141:E141,H141:I141,L141:N141)&lt;0,Q141&lt;0),"ورودی نامعتبر",IF(R141&lt;0,"کسری",IF(R141&gt;0,"اضافه","بدون مغایرت")))))</x:f>
      </x:c>
      <x:c r="V141" s="10" t="str">
        <x:f>IF(OR(A141="",B141=""),"",IF(COUNTIFS($A$8:$A$507,A141,$B$8:$B$507,B141)&gt;1,"ثبت تکراری",""))</x:f>
      </x:c>
      <x:c r="W141" s="9"/>
    </x:row>
    <x:row r="142" ht="25" customHeight="1">
      <x:c r="A142" s="11"/>
      <x:c r="B142" s="11"/>
      <x:c r="C142" s="11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3" t="str">
        <x:f>IF(COUNT(D142:E142)=2,SUM(D142:E142),"")</x:f>
      </x:c>
      <x:c r="P142" s="13" t="str">
        <x:f>IF(COUNT(H142:I142)=2,SUM(H142:I142),"")</x:f>
      </x:c>
      <x:c r="Q142" s="13" t="str">
        <x:f>IF(AND(ISNUMBER(O142),COUNT(L142:N142)=3),O142+L142-M142-N142,"")</x:f>
      </x:c>
      <x:c r="R142" s="13" t="str">
        <x:f>IF(AND(A142&lt;&gt;"",B142&lt;&gt;"",ISNUMBER(P142),ISNUMBER(Q142)),P142-Q142,"")</x:f>
      </x:c>
      <x:c r="S142" s="13" t="str">
        <x:f>IF(COUNT(H142,J142)=2,J142-H142,"")</x:f>
      </x:c>
      <x:c r="T142" s="13" t="str">
        <x:f>IF(COUNT(I142,K142)=2,K142-I142,"")</x:f>
      </x:c>
      <x:c r="U142" s="10" t="str">
        <x:f>IF(NOT(OR(A142&lt;&gt;"",B142&lt;&gt;"",COUNT(D142:N142)&gt;0)),"",IF(OR(A142="",B142="",COUNT(D142:E142,H142:I142,L142:N142)&lt;&gt;7),"ناقص",IF(OR(MIN(D142:E142,H142:I142,L142:N142)&lt;0,Q142&lt;0),"ورودی نامعتبر",IF(R142&lt;0,"کسری",IF(R142&gt;0,"اضافه","بدون مغایرت")))))</x:f>
      </x:c>
      <x:c r="V142" s="10" t="str">
        <x:f>IF(OR(A142="",B142=""),"",IF(COUNTIFS($A$8:$A$507,A142,$B$8:$B$507,B142)&gt;1,"ثبت تکراری",""))</x:f>
      </x:c>
      <x:c r="W142" s="9"/>
    </x:row>
    <x:row r="143" ht="25" customHeight="1">
      <x:c r="A143" s="11"/>
      <x:c r="B143" s="11"/>
      <x:c r="C143" s="11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3" t="str">
        <x:f>IF(COUNT(D143:E143)=2,SUM(D143:E143),"")</x:f>
      </x:c>
      <x:c r="P143" s="13" t="str">
        <x:f>IF(COUNT(H143:I143)=2,SUM(H143:I143),"")</x:f>
      </x:c>
      <x:c r="Q143" s="13" t="str">
        <x:f>IF(AND(ISNUMBER(O143),COUNT(L143:N143)=3),O143+L143-M143-N143,"")</x:f>
      </x:c>
      <x:c r="R143" s="13" t="str">
        <x:f>IF(AND(A143&lt;&gt;"",B143&lt;&gt;"",ISNUMBER(P143),ISNUMBER(Q143)),P143-Q143,"")</x:f>
      </x:c>
      <x:c r="S143" s="13" t="str">
        <x:f>IF(COUNT(H143,J143)=2,J143-H143,"")</x:f>
      </x:c>
      <x:c r="T143" s="13" t="str">
        <x:f>IF(COUNT(I143,K143)=2,K143-I143,"")</x:f>
      </x:c>
      <x:c r="U143" s="10" t="str">
        <x:f>IF(NOT(OR(A143&lt;&gt;"",B143&lt;&gt;"",COUNT(D143:N143)&gt;0)),"",IF(OR(A143="",B143="",COUNT(D143:E143,H143:I143,L143:N143)&lt;&gt;7),"ناقص",IF(OR(MIN(D143:E143,H143:I143,L143:N143)&lt;0,Q143&lt;0),"ورودی نامعتبر",IF(R143&lt;0,"کسری",IF(R143&gt;0,"اضافه","بدون مغایرت")))))</x:f>
      </x:c>
      <x:c r="V143" s="10" t="str">
        <x:f>IF(OR(A143="",B143=""),"",IF(COUNTIFS($A$8:$A$507,A143,$B$8:$B$507,B143)&gt;1,"ثبت تکراری",""))</x:f>
      </x:c>
      <x:c r="W143" s="9"/>
    </x:row>
    <x:row r="144" ht="25" customHeight="1">
      <x:c r="A144" s="11"/>
      <x:c r="B144" s="11"/>
      <x:c r="C144" s="11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3" t="str">
        <x:f>IF(COUNT(D144:E144)=2,SUM(D144:E144),"")</x:f>
      </x:c>
      <x:c r="P144" s="13" t="str">
        <x:f>IF(COUNT(H144:I144)=2,SUM(H144:I144),"")</x:f>
      </x:c>
      <x:c r="Q144" s="13" t="str">
        <x:f>IF(AND(ISNUMBER(O144),COUNT(L144:N144)=3),O144+L144-M144-N144,"")</x:f>
      </x:c>
      <x:c r="R144" s="13" t="str">
        <x:f>IF(AND(A144&lt;&gt;"",B144&lt;&gt;"",ISNUMBER(P144),ISNUMBER(Q144)),P144-Q144,"")</x:f>
      </x:c>
      <x:c r="S144" s="13" t="str">
        <x:f>IF(COUNT(H144,J144)=2,J144-H144,"")</x:f>
      </x:c>
      <x:c r="T144" s="13" t="str">
        <x:f>IF(COUNT(I144,K144)=2,K144-I144,"")</x:f>
      </x:c>
      <x:c r="U144" s="10" t="str">
        <x:f>IF(NOT(OR(A144&lt;&gt;"",B144&lt;&gt;"",COUNT(D144:N144)&gt;0)),"",IF(OR(A144="",B144="",COUNT(D144:E144,H144:I144,L144:N144)&lt;&gt;7),"ناقص",IF(OR(MIN(D144:E144,H144:I144,L144:N144)&lt;0,Q144&lt;0),"ورودی نامعتبر",IF(R144&lt;0,"کسری",IF(R144&gt;0,"اضافه","بدون مغایرت")))))</x:f>
      </x:c>
      <x:c r="V144" s="10" t="str">
        <x:f>IF(OR(A144="",B144=""),"",IF(COUNTIFS($A$8:$A$507,A144,$B$8:$B$507,B144)&gt;1,"ثبت تکراری",""))</x:f>
      </x:c>
      <x:c r="W144" s="9"/>
    </x:row>
    <x:row r="145" ht="25" customHeight="1">
      <x:c r="A145" s="11"/>
      <x:c r="B145" s="11"/>
      <x:c r="C145" s="11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3" t="str">
        <x:f>IF(COUNT(D145:E145)=2,SUM(D145:E145),"")</x:f>
      </x:c>
      <x:c r="P145" s="13" t="str">
        <x:f>IF(COUNT(H145:I145)=2,SUM(H145:I145),"")</x:f>
      </x:c>
      <x:c r="Q145" s="13" t="str">
        <x:f>IF(AND(ISNUMBER(O145),COUNT(L145:N145)=3),O145+L145-M145-N145,"")</x:f>
      </x:c>
      <x:c r="R145" s="13" t="str">
        <x:f>IF(AND(A145&lt;&gt;"",B145&lt;&gt;"",ISNUMBER(P145),ISNUMBER(Q145)),P145-Q145,"")</x:f>
      </x:c>
      <x:c r="S145" s="13" t="str">
        <x:f>IF(COUNT(H145,J145)=2,J145-H145,"")</x:f>
      </x:c>
      <x:c r="T145" s="13" t="str">
        <x:f>IF(COUNT(I145,K145)=2,K145-I145,"")</x:f>
      </x:c>
      <x:c r="U145" s="10" t="str">
        <x:f>IF(NOT(OR(A145&lt;&gt;"",B145&lt;&gt;"",COUNT(D145:N145)&gt;0)),"",IF(OR(A145="",B145="",COUNT(D145:E145,H145:I145,L145:N145)&lt;&gt;7),"ناقص",IF(OR(MIN(D145:E145,H145:I145,L145:N145)&lt;0,Q145&lt;0),"ورودی نامعتبر",IF(R145&lt;0,"کسری",IF(R145&gt;0,"اضافه","بدون مغایرت")))))</x:f>
      </x:c>
      <x:c r="V145" s="10" t="str">
        <x:f>IF(OR(A145="",B145=""),"",IF(COUNTIFS($A$8:$A$507,A145,$B$8:$B$507,B145)&gt;1,"ثبت تکراری",""))</x:f>
      </x:c>
      <x:c r="W145" s="9"/>
    </x:row>
    <x:row r="146" ht="25" customHeight="1">
      <x:c r="A146" s="11"/>
      <x:c r="B146" s="11"/>
      <x:c r="C146" s="11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3" t="str">
        <x:f>IF(COUNT(D146:E146)=2,SUM(D146:E146),"")</x:f>
      </x:c>
      <x:c r="P146" s="13" t="str">
        <x:f>IF(COUNT(H146:I146)=2,SUM(H146:I146),"")</x:f>
      </x:c>
      <x:c r="Q146" s="13" t="str">
        <x:f>IF(AND(ISNUMBER(O146),COUNT(L146:N146)=3),O146+L146-M146-N146,"")</x:f>
      </x:c>
      <x:c r="R146" s="13" t="str">
        <x:f>IF(AND(A146&lt;&gt;"",B146&lt;&gt;"",ISNUMBER(P146),ISNUMBER(Q146)),P146-Q146,"")</x:f>
      </x:c>
      <x:c r="S146" s="13" t="str">
        <x:f>IF(COUNT(H146,J146)=2,J146-H146,"")</x:f>
      </x:c>
      <x:c r="T146" s="13" t="str">
        <x:f>IF(COUNT(I146,K146)=2,K146-I146,"")</x:f>
      </x:c>
      <x:c r="U146" s="10" t="str">
        <x:f>IF(NOT(OR(A146&lt;&gt;"",B146&lt;&gt;"",COUNT(D146:N146)&gt;0)),"",IF(OR(A146="",B146="",COUNT(D146:E146,H146:I146,L146:N146)&lt;&gt;7),"ناقص",IF(OR(MIN(D146:E146,H146:I146,L146:N146)&lt;0,Q146&lt;0),"ورودی نامعتبر",IF(R146&lt;0,"کسری",IF(R146&gt;0,"اضافه","بدون مغایرت")))))</x:f>
      </x:c>
      <x:c r="V146" s="10" t="str">
        <x:f>IF(OR(A146="",B146=""),"",IF(COUNTIFS($A$8:$A$507,A146,$B$8:$B$507,B146)&gt;1,"ثبت تکراری",""))</x:f>
      </x:c>
      <x:c r="W146" s="9"/>
    </x:row>
    <x:row r="147" ht="25" customHeight="1">
      <x:c r="A147" s="11"/>
      <x:c r="B147" s="11"/>
      <x:c r="C147" s="11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3" t="str">
        <x:f>IF(COUNT(D147:E147)=2,SUM(D147:E147),"")</x:f>
      </x:c>
      <x:c r="P147" s="13" t="str">
        <x:f>IF(COUNT(H147:I147)=2,SUM(H147:I147),"")</x:f>
      </x:c>
      <x:c r="Q147" s="13" t="str">
        <x:f>IF(AND(ISNUMBER(O147),COUNT(L147:N147)=3),O147+L147-M147-N147,"")</x:f>
      </x:c>
      <x:c r="R147" s="13" t="str">
        <x:f>IF(AND(A147&lt;&gt;"",B147&lt;&gt;"",ISNUMBER(P147),ISNUMBER(Q147)),P147-Q147,"")</x:f>
      </x:c>
      <x:c r="S147" s="13" t="str">
        <x:f>IF(COUNT(H147,J147)=2,J147-H147,"")</x:f>
      </x:c>
      <x:c r="T147" s="13" t="str">
        <x:f>IF(COUNT(I147,K147)=2,K147-I147,"")</x:f>
      </x:c>
      <x:c r="U147" s="10" t="str">
        <x:f>IF(NOT(OR(A147&lt;&gt;"",B147&lt;&gt;"",COUNT(D147:N147)&gt;0)),"",IF(OR(A147="",B147="",COUNT(D147:E147,H147:I147,L147:N147)&lt;&gt;7),"ناقص",IF(OR(MIN(D147:E147,H147:I147,L147:N147)&lt;0,Q147&lt;0),"ورودی نامعتبر",IF(R147&lt;0,"کسری",IF(R147&gt;0,"اضافه","بدون مغایرت")))))</x:f>
      </x:c>
      <x:c r="V147" s="10" t="str">
        <x:f>IF(OR(A147="",B147=""),"",IF(COUNTIFS($A$8:$A$507,A147,$B$8:$B$507,B147)&gt;1,"ثبت تکراری",""))</x:f>
      </x:c>
      <x:c r="W147" s="9"/>
    </x:row>
    <x:row r="148" ht="25" customHeight="1">
      <x:c r="A148" s="11"/>
      <x:c r="B148" s="11"/>
      <x:c r="C148" s="11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3" t="str">
        <x:f>IF(COUNT(D148:E148)=2,SUM(D148:E148),"")</x:f>
      </x:c>
      <x:c r="P148" s="13" t="str">
        <x:f>IF(COUNT(H148:I148)=2,SUM(H148:I148),"")</x:f>
      </x:c>
      <x:c r="Q148" s="13" t="str">
        <x:f>IF(AND(ISNUMBER(O148),COUNT(L148:N148)=3),O148+L148-M148-N148,"")</x:f>
      </x:c>
      <x:c r="R148" s="13" t="str">
        <x:f>IF(AND(A148&lt;&gt;"",B148&lt;&gt;"",ISNUMBER(P148),ISNUMBER(Q148)),P148-Q148,"")</x:f>
      </x:c>
      <x:c r="S148" s="13" t="str">
        <x:f>IF(COUNT(H148,J148)=2,J148-H148,"")</x:f>
      </x:c>
      <x:c r="T148" s="13" t="str">
        <x:f>IF(COUNT(I148,K148)=2,K148-I148,"")</x:f>
      </x:c>
      <x:c r="U148" s="10" t="str">
        <x:f>IF(NOT(OR(A148&lt;&gt;"",B148&lt;&gt;"",COUNT(D148:N148)&gt;0)),"",IF(OR(A148="",B148="",COUNT(D148:E148,H148:I148,L148:N148)&lt;&gt;7),"ناقص",IF(OR(MIN(D148:E148,H148:I148,L148:N148)&lt;0,Q148&lt;0),"ورودی نامعتبر",IF(R148&lt;0,"کسری",IF(R148&gt;0,"اضافه","بدون مغایرت")))))</x:f>
      </x:c>
      <x:c r="V148" s="10" t="str">
        <x:f>IF(OR(A148="",B148=""),"",IF(COUNTIFS($A$8:$A$507,A148,$B$8:$B$507,B148)&gt;1,"ثبت تکراری",""))</x:f>
      </x:c>
      <x:c r="W148" s="9"/>
    </x:row>
    <x:row r="149" ht="25" customHeight="1">
      <x:c r="A149" s="11"/>
      <x:c r="B149" s="11"/>
      <x:c r="C149" s="11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3" t="str">
        <x:f>IF(COUNT(D149:E149)=2,SUM(D149:E149),"")</x:f>
      </x:c>
      <x:c r="P149" s="13" t="str">
        <x:f>IF(COUNT(H149:I149)=2,SUM(H149:I149),"")</x:f>
      </x:c>
      <x:c r="Q149" s="13" t="str">
        <x:f>IF(AND(ISNUMBER(O149),COUNT(L149:N149)=3),O149+L149-M149-N149,"")</x:f>
      </x:c>
      <x:c r="R149" s="13" t="str">
        <x:f>IF(AND(A149&lt;&gt;"",B149&lt;&gt;"",ISNUMBER(P149),ISNUMBER(Q149)),P149-Q149,"")</x:f>
      </x:c>
      <x:c r="S149" s="13" t="str">
        <x:f>IF(COUNT(H149,J149)=2,J149-H149,"")</x:f>
      </x:c>
      <x:c r="T149" s="13" t="str">
        <x:f>IF(COUNT(I149,K149)=2,K149-I149,"")</x:f>
      </x:c>
      <x:c r="U149" s="10" t="str">
        <x:f>IF(NOT(OR(A149&lt;&gt;"",B149&lt;&gt;"",COUNT(D149:N149)&gt;0)),"",IF(OR(A149="",B149="",COUNT(D149:E149,H149:I149,L149:N149)&lt;&gt;7),"ناقص",IF(OR(MIN(D149:E149,H149:I149,L149:N149)&lt;0,Q149&lt;0),"ورودی نامعتبر",IF(R149&lt;0,"کسری",IF(R149&gt;0,"اضافه","بدون مغایرت")))))</x:f>
      </x:c>
      <x:c r="V149" s="10" t="str">
        <x:f>IF(OR(A149="",B149=""),"",IF(COUNTIFS($A$8:$A$507,A149,$B$8:$B$507,B149)&gt;1,"ثبت تکراری",""))</x:f>
      </x:c>
      <x:c r="W149" s="9"/>
    </x:row>
    <x:row r="150" ht="25" customHeight="1">
      <x:c r="A150" s="11"/>
      <x:c r="B150" s="11"/>
      <x:c r="C150" s="11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3" t="str">
        <x:f>IF(COUNT(D150:E150)=2,SUM(D150:E150),"")</x:f>
      </x:c>
      <x:c r="P150" s="13" t="str">
        <x:f>IF(COUNT(H150:I150)=2,SUM(H150:I150),"")</x:f>
      </x:c>
      <x:c r="Q150" s="13" t="str">
        <x:f>IF(AND(ISNUMBER(O150),COUNT(L150:N150)=3),O150+L150-M150-N150,"")</x:f>
      </x:c>
      <x:c r="R150" s="13" t="str">
        <x:f>IF(AND(A150&lt;&gt;"",B150&lt;&gt;"",ISNUMBER(P150),ISNUMBER(Q150)),P150-Q150,"")</x:f>
      </x:c>
      <x:c r="S150" s="13" t="str">
        <x:f>IF(COUNT(H150,J150)=2,J150-H150,"")</x:f>
      </x:c>
      <x:c r="T150" s="13" t="str">
        <x:f>IF(COUNT(I150,K150)=2,K150-I150,"")</x:f>
      </x:c>
      <x:c r="U150" s="10" t="str">
        <x:f>IF(NOT(OR(A150&lt;&gt;"",B150&lt;&gt;"",COUNT(D150:N150)&gt;0)),"",IF(OR(A150="",B150="",COUNT(D150:E150,H150:I150,L150:N150)&lt;&gt;7),"ناقص",IF(OR(MIN(D150:E150,H150:I150,L150:N150)&lt;0,Q150&lt;0),"ورودی نامعتبر",IF(R150&lt;0,"کسری",IF(R150&gt;0,"اضافه","بدون مغایرت")))))</x:f>
      </x:c>
      <x:c r="V150" s="10" t="str">
        <x:f>IF(OR(A150="",B150=""),"",IF(COUNTIFS($A$8:$A$507,A150,$B$8:$B$507,B150)&gt;1,"ثبت تکراری",""))</x:f>
      </x:c>
      <x:c r="W150" s="9"/>
    </x:row>
    <x:row r="151" ht="25" customHeight="1">
      <x:c r="A151" s="11"/>
      <x:c r="B151" s="11"/>
      <x:c r="C151" s="11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3" t="str">
        <x:f>IF(COUNT(D151:E151)=2,SUM(D151:E151),"")</x:f>
      </x:c>
      <x:c r="P151" s="13" t="str">
        <x:f>IF(COUNT(H151:I151)=2,SUM(H151:I151),"")</x:f>
      </x:c>
      <x:c r="Q151" s="13" t="str">
        <x:f>IF(AND(ISNUMBER(O151),COUNT(L151:N151)=3),O151+L151-M151-N151,"")</x:f>
      </x:c>
      <x:c r="R151" s="13" t="str">
        <x:f>IF(AND(A151&lt;&gt;"",B151&lt;&gt;"",ISNUMBER(P151),ISNUMBER(Q151)),P151-Q151,"")</x:f>
      </x:c>
      <x:c r="S151" s="13" t="str">
        <x:f>IF(COUNT(H151,J151)=2,J151-H151,"")</x:f>
      </x:c>
      <x:c r="T151" s="13" t="str">
        <x:f>IF(COUNT(I151,K151)=2,K151-I151,"")</x:f>
      </x:c>
      <x:c r="U151" s="10" t="str">
        <x:f>IF(NOT(OR(A151&lt;&gt;"",B151&lt;&gt;"",COUNT(D151:N151)&gt;0)),"",IF(OR(A151="",B151="",COUNT(D151:E151,H151:I151,L151:N151)&lt;&gt;7),"ناقص",IF(OR(MIN(D151:E151,H151:I151,L151:N151)&lt;0,Q151&lt;0),"ورودی نامعتبر",IF(R151&lt;0,"کسری",IF(R151&gt;0,"اضافه","بدون مغایرت")))))</x:f>
      </x:c>
      <x:c r="V151" s="10" t="str">
        <x:f>IF(OR(A151="",B151=""),"",IF(COUNTIFS($A$8:$A$507,A151,$B$8:$B$507,B151)&gt;1,"ثبت تکراری",""))</x:f>
      </x:c>
      <x:c r="W151" s="9"/>
    </x:row>
    <x:row r="152" ht="25" customHeight="1">
      <x:c r="A152" s="11"/>
      <x:c r="B152" s="11"/>
      <x:c r="C152" s="11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3" t="str">
        <x:f>IF(COUNT(D152:E152)=2,SUM(D152:E152),"")</x:f>
      </x:c>
      <x:c r="P152" s="13" t="str">
        <x:f>IF(COUNT(H152:I152)=2,SUM(H152:I152),"")</x:f>
      </x:c>
      <x:c r="Q152" s="13" t="str">
        <x:f>IF(AND(ISNUMBER(O152),COUNT(L152:N152)=3),O152+L152-M152-N152,"")</x:f>
      </x:c>
      <x:c r="R152" s="13" t="str">
        <x:f>IF(AND(A152&lt;&gt;"",B152&lt;&gt;"",ISNUMBER(P152),ISNUMBER(Q152)),P152-Q152,"")</x:f>
      </x:c>
      <x:c r="S152" s="13" t="str">
        <x:f>IF(COUNT(H152,J152)=2,J152-H152,"")</x:f>
      </x:c>
      <x:c r="T152" s="13" t="str">
        <x:f>IF(COUNT(I152,K152)=2,K152-I152,"")</x:f>
      </x:c>
      <x:c r="U152" s="10" t="str">
        <x:f>IF(NOT(OR(A152&lt;&gt;"",B152&lt;&gt;"",COUNT(D152:N152)&gt;0)),"",IF(OR(A152="",B152="",COUNT(D152:E152,H152:I152,L152:N152)&lt;&gt;7),"ناقص",IF(OR(MIN(D152:E152,H152:I152,L152:N152)&lt;0,Q152&lt;0),"ورودی نامعتبر",IF(R152&lt;0,"کسری",IF(R152&gt;0,"اضافه","بدون مغایرت")))))</x:f>
      </x:c>
      <x:c r="V152" s="10" t="str">
        <x:f>IF(OR(A152="",B152=""),"",IF(COUNTIFS($A$8:$A$507,A152,$B$8:$B$507,B152)&gt;1,"ثبت تکراری",""))</x:f>
      </x:c>
      <x:c r="W152" s="9"/>
    </x:row>
    <x:row r="153" ht="25" customHeight="1">
      <x:c r="A153" s="11"/>
      <x:c r="B153" s="11"/>
      <x:c r="C153" s="11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3" t="str">
        <x:f>IF(COUNT(D153:E153)=2,SUM(D153:E153),"")</x:f>
      </x:c>
      <x:c r="P153" s="13" t="str">
        <x:f>IF(COUNT(H153:I153)=2,SUM(H153:I153),"")</x:f>
      </x:c>
      <x:c r="Q153" s="13" t="str">
        <x:f>IF(AND(ISNUMBER(O153),COUNT(L153:N153)=3),O153+L153-M153-N153,"")</x:f>
      </x:c>
      <x:c r="R153" s="13" t="str">
        <x:f>IF(AND(A153&lt;&gt;"",B153&lt;&gt;"",ISNUMBER(P153),ISNUMBER(Q153)),P153-Q153,"")</x:f>
      </x:c>
      <x:c r="S153" s="13" t="str">
        <x:f>IF(COUNT(H153,J153)=2,J153-H153,"")</x:f>
      </x:c>
      <x:c r="T153" s="13" t="str">
        <x:f>IF(COUNT(I153,K153)=2,K153-I153,"")</x:f>
      </x:c>
      <x:c r="U153" s="10" t="str">
        <x:f>IF(NOT(OR(A153&lt;&gt;"",B153&lt;&gt;"",COUNT(D153:N153)&gt;0)),"",IF(OR(A153="",B153="",COUNT(D153:E153,H153:I153,L153:N153)&lt;&gt;7),"ناقص",IF(OR(MIN(D153:E153,H153:I153,L153:N153)&lt;0,Q153&lt;0),"ورودی نامعتبر",IF(R153&lt;0,"کسری",IF(R153&gt;0,"اضافه","بدون مغایرت")))))</x:f>
      </x:c>
      <x:c r="V153" s="10" t="str">
        <x:f>IF(OR(A153="",B153=""),"",IF(COUNTIFS($A$8:$A$507,A153,$B$8:$B$507,B153)&gt;1,"ثبت تکراری",""))</x:f>
      </x:c>
      <x:c r="W153" s="9"/>
    </x:row>
    <x:row r="154" ht="25" customHeight="1">
      <x:c r="A154" s="11"/>
      <x:c r="B154" s="11"/>
      <x:c r="C154" s="11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3" t="str">
        <x:f>IF(COUNT(D154:E154)=2,SUM(D154:E154),"")</x:f>
      </x:c>
      <x:c r="P154" s="13" t="str">
        <x:f>IF(COUNT(H154:I154)=2,SUM(H154:I154),"")</x:f>
      </x:c>
      <x:c r="Q154" s="13" t="str">
        <x:f>IF(AND(ISNUMBER(O154),COUNT(L154:N154)=3),O154+L154-M154-N154,"")</x:f>
      </x:c>
      <x:c r="R154" s="13" t="str">
        <x:f>IF(AND(A154&lt;&gt;"",B154&lt;&gt;"",ISNUMBER(P154),ISNUMBER(Q154)),P154-Q154,"")</x:f>
      </x:c>
      <x:c r="S154" s="13" t="str">
        <x:f>IF(COUNT(H154,J154)=2,J154-H154,"")</x:f>
      </x:c>
      <x:c r="T154" s="13" t="str">
        <x:f>IF(COUNT(I154,K154)=2,K154-I154,"")</x:f>
      </x:c>
      <x:c r="U154" s="10" t="str">
        <x:f>IF(NOT(OR(A154&lt;&gt;"",B154&lt;&gt;"",COUNT(D154:N154)&gt;0)),"",IF(OR(A154="",B154="",COUNT(D154:E154,H154:I154,L154:N154)&lt;&gt;7),"ناقص",IF(OR(MIN(D154:E154,H154:I154,L154:N154)&lt;0,Q154&lt;0),"ورودی نامعتبر",IF(R154&lt;0,"کسری",IF(R154&gt;0,"اضافه","بدون مغایرت")))))</x:f>
      </x:c>
      <x:c r="V154" s="10" t="str">
        <x:f>IF(OR(A154="",B154=""),"",IF(COUNTIFS($A$8:$A$507,A154,$B$8:$B$507,B154)&gt;1,"ثبت تکراری",""))</x:f>
      </x:c>
      <x:c r="W154" s="9"/>
    </x:row>
    <x:row r="155" ht="25" customHeight="1">
      <x:c r="A155" s="11"/>
      <x:c r="B155" s="11"/>
      <x:c r="C155" s="11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3" t="str">
        <x:f>IF(COUNT(D155:E155)=2,SUM(D155:E155),"")</x:f>
      </x:c>
      <x:c r="P155" s="13" t="str">
        <x:f>IF(COUNT(H155:I155)=2,SUM(H155:I155),"")</x:f>
      </x:c>
      <x:c r="Q155" s="13" t="str">
        <x:f>IF(AND(ISNUMBER(O155),COUNT(L155:N155)=3),O155+L155-M155-N155,"")</x:f>
      </x:c>
      <x:c r="R155" s="13" t="str">
        <x:f>IF(AND(A155&lt;&gt;"",B155&lt;&gt;"",ISNUMBER(P155),ISNUMBER(Q155)),P155-Q155,"")</x:f>
      </x:c>
      <x:c r="S155" s="13" t="str">
        <x:f>IF(COUNT(H155,J155)=2,J155-H155,"")</x:f>
      </x:c>
      <x:c r="T155" s="13" t="str">
        <x:f>IF(COUNT(I155,K155)=2,K155-I155,"")</x:f>
      </x:c>
      <x:c r="U155" s="10" t="str">
        <x:f>IF(NOT(OR(A155&lt;&gt;"",B155&lt;&gt;"",COUNT(D155:N155)&gt;0)),"",IF(OR(A155="",B155="",COUNT(D155:E155,H155:I155,L155:N155)&lt;&gt;7),"ناقص",IF(OR(MIN(D155:E155,H155:I155,L155:N155)&lt;0,Q155&lt;0),"ورودی نامعتبر",IF(R155&lt;0,"کسری",IF(R155&gt;0,"اضافه","بدون مغایرت")))))</x:f>
      </x:c>
      <x:c r="V155" s="10" t="str">
        <x:f>IF(OR(A155="",B155=""),"",IF(COUNTIFS($A$8:$A$507,A155,$B$8:$B$507,B155)&gt;1,"ثبت تکراری",""))</x:f>
      </x:c>
      <x:c r="W155" s="9"/>
    </x:row>
    <x:row r="156" ht="25" customHeight="1">
      <x:c r="A156" s="11"/>
      <x:c r="B156" s="11"/>
      <x:c r="C156" s="11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3" t="str">
        <x:f>IF(COUNT(D156:E156)=2,SUM(D156:E156),"")</x:f>
      </x:c>
      <x:c r="P156" s="13" t="str">
        <x:f>IF(COUNT(H156:I156)=2,SUM(H156:I156),"")</x:f>
      </x:c>
      <x:c r="Q156" s="13" t="str">
        <x:f>IF(AND(ISNUMBER(O156),COUNT(L156:N156)=3),O156+L156-M156-N156,"")</x:f>
      </x:c>
      <x:c r="R156" s="13" t="str">
        <x:f>IF(AND(A156&lt;&gt;"",B156&lt;&gt;"",ISNUMBER(P156),ISNUMBER(Q156)),P156-Q156,"")</x:f>
      </x:c>
      <x:c r="S156" s="13" t="str">
        <x:f>IF(COUNT(H156,J156)=2,J156-H156,"")</x:f>
      </x:c>
      <x:c r="T156" s="13" t="str">
        <x:f>IF(COUNT(I156,K156)=2,K156-I156,"")</x:f>
      </x:c>
      <x:c r="U156" s="10" t="str">
        <x:f>IF(NOT(OR(A156&lt;&gt;"",B156&lt;&gt;"",COUNT(D156:N156)&gt;0)),"",IF(OR(A156="",B156="",COUNT(D156:E156,H156:I156,L156:N156)&lt;&gt;7),"ناقص",IF(OR(MIN(D156:E156,H156:I156,L156:N156)&lt;0,Q156&lt;0),"ورودی نامعتبر",IF(R156&lt;0,"کسری",IF(R156&gt;0,"اضافه","بدون مغایرت")))))</x:f>
      </x:c>
      <x:c r="V156" s="10" t="str">
        <x:f>IF(OR(A156="",B156=""),"",IF(COUNTIFS($A$8:$A$507,A156,$B$8:$B$507,B156)&gt;1,"ثبت تکراری",""))</x:f>
      </x:c>
      <x:c r="W156" s="9"/>
    </x:row>
    <x:row r="157" ht="25" customHeight="1">
      <x:c r="A157" s="11"/>
      <x:c r="B157" s="11"/>
      <x:c r="C157" s="11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3" t="str">
        <x:f>IF(COUNT(D157:E157)=2,SUM(D157:E157),"")</x:f>
      </x:c>
      <x:c r="P157" s="13" t="str">
        <x:f>IF(COUNT(H157:I157)=2,SUM(H157:I157),"")</x:f>
      </x:c>
      <x:c r="Q157" s="13" t="str">
        <x:f>IF(AND(ISNUMBER(O157),COUNT(L157:N157)=3),O157+L157-M157-N157,"")</x:f>
      </x:c>
      <x:c r="R157" s="13" t="str">
        <x:f>IF(AND(A157&lt;&gt;"",B157&lt;&gt;"",ISNUMBER(P157),ISNUMBER(Q157)),P157-Q157,"")</x:f>
      </x:c>
      <x:c r="S157" s="13" t="str">
        <x:f>IF(COUNT(H157,J157)=2,J157-H157,"")</x:f>
      </x:c>
      <x:c r="T157" s="13" t="str">
        <x:f>IF(COUNT(I157,K157)=2,K157-I157,"")</x:f>
      </x:c>
      <x:c r="U157" s="10" t="str">
        <x:f>IF(NOT(OR(A157&lt;&gt;"",B157&lt;&gt;"",COUNT(D157:N157)&gt;0)),"",IF(OR(A157="",B157="",COUNT(D157:E157,H157:I157,L157:N157)&lt;&gt;7),"ناقص",IF(OR(MIN(D157:E157,H157:I157,L157:N157)&lt;0,Q157&lt;0),"ورودی نامعتبر",IF(R157&lt;0,"کسری",IF(R157&gt;0,"اضافه","بدون مغایرت")))))</x:f>
      </x:c>
      <x:c r="V157" s="10" t="str">
        <x:f>IF(OR(A157="",B157=""),"",IF(COUNTIFS($A$8:$A$507,A157,$B$8:$B$507,B157)&gt;1,"ثبت تکراری",""))</x:f>
      </x:c>
      <x:c r="W157" s="9"/>
    </x:row>
    <x:row r="158" ht="25" customHeight="1">
      <x:c r="A158" s="11"/>
      <x:c r="B158" s="11"/>
      <x:c r="C158" s="11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3" t="str">
        <x:f>IF(COUNT(D158:E158)=2,SUM(D158:E158),"")</x:f>
      </x:c>
      <x:c r="P158" s="13" t="str">
        <x:f>IF(COUNT(H158:I158)=2,SUM(H158:I158),"")</x:f>
      </x:c>
      <x:c r="Q158" s="13" t="str">
        <x:f>IF(AND(ISNUMBER(O158),COUNT(L158:N158)=3),O158+L158-M158-N158,"")</x:f>
      </x:c>
      <x:c r="R158" s="13" t="str">
        <x:f>IF(AND(A158&lt;&gt;"",B158&lt;&gt;"",ISNUMBER(P158),ISNUMBER(Q158)),P158-Q158,"")</x:f>
      </x:c>
      <x:c r="S158" s="13" t="str">
        <x:f>IF(COUNT(H158,J158)=2,J158-H158,"")</x:f>
      </x:c>
      <x:c r="T158" s="13" t="str">
        <x:f>IF(COUNT(I158,K158)=2,K158-I158,"")</x:f>
      </x:c>
      <x:c r="U158" s="10" t="str">
        <x:f>IF(NOT(OR(A158&lt;&gt;"",B158&lt;&gt;"",COUNT(D158:N158)&gt;0)),"",IF(OR(A158="",B158="",COUNT(D158:E158,H158:I158,L158:N158)&lt;&gt;7),"ناقص",IF(OR(MIN(D158:E158,H158:I158,L158:N158)&lt;0,Q158&lt;0),"ورودی نامعتبر",IF(R158&lt;0,"کسری",IF(R158&gt;0,"اضافه","بدون مغایرت")))))</x:f>
      </x:c>
      <x:c r="V158" s="10" t="str">
        <x:f>IF(OR(A158="",B158=""),"",IF(COUNTIFS($A$8:$A$507,A158,$B$8:$B$507,B158)&gt;1,"ثبت تکراری",""))</x:f>
      </x:c>
      <x:c r="W158" s="9"/>
    </x:row>
    <x:row r="159" ht="25" customHeight="1">
      <x:c r="A159" s="11"/>
      <x:c r="B159" s="11"/>
      <x:c r="C159" s="11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3" t="str">
        <x:f>IF(COUNT(D159:E159)=2,SUM(D159:E159),"")</x:f>
      </x:c>
      <x:c r="P159" s="13" t="str">
        <x:f>IF(COUNT(H159:I159)=2,SUM(H159:I159),"")</x:f>
      </x:c>
      <x:c r="Q159" s="13" t="str">
        <x:f>IF(AND(ISNUMBER(O159),COUNT(L159:N159)=3),O159+L159-M159-N159,"")</x:f>
      </x:c>
      <x:c r="R159" s="13" t="str">
        <x:f>IF(AND(A159&lt;&gt;"",B159&lt;&gt;"",ISNUMBER(P159),ISNUMBER(Q159)),P159-Q159,"")</x:f>
      </x:c>
      <x:c r="S159" s="13" t="str">
        <x:f>IF(COUNT(H159,J159)=2,J159-H159,"")</x:f>
      </x:c>
      <x:c r="T159" s="13" t="str">
        <x:f>IF(COUNT(I159,K159)=2,K159-I159,"")</x:f>
      </x:c>
      <x:c r="U159" s="10" t="str">
        <x:f>IF(NOT(OR(A159&lt;&gt;"",B159&lt;&gt;"",COUNT(D159:N159)&gt;0)),"",IF(OR(A159="",B159="",COUNT(D159:E159,H159:I159,L159:N159)&lt;&gt;7),"ناقص",IF(OR(MIN(D159:E159,H159:I159,L159:N159)&lt;0,Q159&lt;0),"ورودی نامعتبر",IF(R159&lt;0,"کسری",IF(R159&gt;0,"اضافه","بدون مغایرت")))))</x:f>
      </x:c>
      <x:c r="V159" s="10" t="str">
        <x:f>IF(OR(A159="",B159=""),"",IF(COUNTIFS($A$8:$A$507,A159,$B$8:$B$507,B159)&gt;1,"ثبت تکراری",""))</x:f>
      </x:c>
      <x:c r="W159" s="9"/>
    </x:row>
    <x:row r="160" ht="25" customHeight="1">
      <x:c r="A160" s="11"/>
      <x:c r="B160" s="11"/>
      <x:c r="C160" s="11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3" t="str">
        <x:f>IF(COUNT(D160:E160)=2,SUM(D160:E160),"")</x:f>
      </x:c>
      <x:c r="P160" s="13" t="str">
        <x:f>IF(COUNT(H160:I160)=2,SUM(H160:I160),"")</x:f>
      </x:c>
      <x:c r="Q160" s="13" t="str">
        <x:f>IF(AND(ISNUMBER(O160),COUNT(L160:N160)=3),O160+L160-M160-N160,"")</x:f>
      </x:c>
      <x:c r="R160" s="13" t="str">
        <x:f>IF(AND(A160&lt;&gt;"",B160&lt;&gt;"",ISNUMBER(P160),ISNUMBER(Q160)),P160-Q160,"")</x:f>
      </x:c>
      <x:c r="S160" s="13" t="str">
        <x:f>IF(COUNT(H160,J160)=2,J160-H160,"")</x:f>
      </x:c>
      <x:c r="T160" s="13" t="str">
        <x:f>IF(COUNT(I160,K160)=2,K160-I160,"")</x:f>
      </x:c>
      <x:c r="U160" s="10" t="str">
        <x:f>IF(NOT(OR(A160&lt;&gt;"",B160&lt;&gt;"",COUNT(D160:N160)&gt;0)),"",IF(OR(A160="",B160="",COUNT(D160:E160,H160:I160,L160:N160)&lt;&gt;7),"ناقص",IF(OR(MIN(D160:E160,H160:I160,L160:N160)&lt;0,Q160&lt;0),"ورودی نامعتبر",IF(R160&lt;0,"کسری",IF(R160&gt;0,"اضافه","بدون مغایرت")))))</x:f>
      </x:c>
      <x:c r="V160" s="10" t="str">
        <x:f>IF(OR(A160="",B160=""),"",IF(COUNTIFS($A$8:$A$507,A160,$B$8:$B$507,B160)&gt;1,"ثبت تکراری",""))</x:f>
      </x:c>
      <x:c r="W160" s="9"/>
    </x:row>
    <x:row r="161" ht="25" customHeight="1">
      <x:c r="A161" s="11"/>
      <x:c r="B161" s="11"/>
      <x:c r="C161" s="11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3" t="str">
        <x:f>IF(COUNT(D161:E161)=2,SUM(D161:E161),"")</x:f>
      </x:c>
      <x:c r="P161" s="13" t="str">
        <x:f>IF(COUNT(H161:I161)=2,SUM(H161:I161),"")</x:f>
      </x:c>
      <x:c r="Q161" s="13" t="str">
        <x:f>IF(AND(ISNUMBER(O161),COUNT(L161:N161)=3),O161+L161-M161-N161,"")</x:f>
      </x:c>
      <x:c r="R161" s="13" t="str">
        <x:f>IF(AND(A161&lt;&gt;"",B161&lt;&gt;"",ISNUMBER(P161),ISNUMBER(Q161)),P161-Q161,"")</x:f>
      </x:c>
      <x:c r="S161" s="13" t="str">
        <x:f>IF(COUNT(H161,J161)=2,J161-H161,"")</x:f>
      </x:c>
      <x:c r="T161" s="13" t="str">
        <x:f>IF(COUNT(I161,K161)=2,K161-I161,"")</x:f>
      </x:c>
      <x:c r="U161" s="10" t="str">
        <x:f>IF(NOT(OR(A161&lt;&gt;"",B161&lt;&gt;"",COUNT(D161:N161)&gt;0)),"",IF(OR(A161="",B161="",COUNT(D161:E161,H161:I161,L161:N161)&lt;&gt;7),"ناقص",IF(OR(MIN(D161:E161,H161:I161,L161:N161)&lt;0,Q161&lt;0),"ورودی نامعتبر",IF(R161&lt;0,"کسری",IF(R161&gt;0,"اضافه","بدون مغایرت")))))</x:f>
      </x:c>
      <x:c r="V161" s="10" t="str">
        <x:f>IF(OR(A161="",B161=""),"",IF(COUNTIFS($A$8:$A$507,A161,$B$8:$B$507,B161)&gt;1,"ثبت تکراری",""))</x:f>
      </x:c>
      <x:c r="W161" s="9"/>
    </x:row>
    <x:row r="162" ht="25" customHeight="1">
      <x:c r="A162" s="11"/>
      <x:c r="B162" s="11"/>
      <x:c r="C162" s="11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3" t="str">
        <x:f>IF(COUNT(D162:E162)=2,SUM(D162:E162),"")</x:f>
      </x:c>
      <x:c r="P162" s="13" t="str">
        <x:f>IF(COUNT(H162:I162)=2,SUM(H162:I162),"")</x:f>
      </x:c>
      <x:c r="Q162" s="13" t="str">
        <x:f>IF(AND(ISNUMBER(O162),COUNT(L162:N162)=3),O162+L162-M162-N162,"")</x:f>
      </x:c>
      <x:c r="R162" s="13" t="str">
        <x:f>IF(AND(A162&lt;&gt;"",B162&lt;&gt;"",ISNUMBER(P162),ISNUMBER(Q162)),P162-Q162,"")</x:f>
      </x:c>
      <x:c r="S162" s="13" t="str">
        <x:f>IF(COUNT(H162,J162)=2,J162-H162,"")</x:f>
      </x:c>
      <x:c r="T162" s="13" t="str">
        <x:f>IF(COUNT(I162,K162)=2,K162-I162,"")</x:f>
      </x:c>
      <x:c r="U162" s="10" t="str">
        <x:f>IF(NOT(OR(A162&lt;&gt;"",B162&lt;&gt;"",COUNT(D162:N162)&gt;0)),"",IF(OR(A162="",B162="",COUNT(D162:E162,H162:I162,L162:N162)&lt;&gt;7),"ناقص",IF(OR(MIN(D162:E162,H162:I162,L162:N162)&lt;0,Q162&lt;0),"ورودی نامعتبر",IF(R162&lt;0,"کسری",IF(R162&gt;0,"اضافه","بدون مغایرت")))))</x:f>
      </x:c>
      <x:c r="V162" s="10" t="str">
        <x:f>IF(OR(A162="",B162=""),"",IF(COUNTIFS($A$8:$A$507,A162,$B$8:$B$507,B162)&gt;1,"ثبت تکراری",""))</x:f>
      </x:c>
      <x:c r="W162" s="9"/>
    </x:row>
    <x:row r="163" ht="25" customHeight="1">
      <x:c r="A163" s="11"/>
      <x:c r="B163" s="11"/>
      <x:c r="C163" s="11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3" t="str">
        <x:f>IF(COUNT(D163:E163)=2,SUM(D163:E163),"")</x:f>
      </x:c>
      <x:c r="P163" s="13" t="str">
        <x:f>IF(COUNT(H163:I163)=2,SUM(H163:I163),"")</x:f>
      </x:c>
      <x:c r="Q163" s="13" t="str">
        <x:f>IF(AND(ISNUMBER(O163),COUNT(L163:N163)=3),O163+L163-M163-N163,"")</x:f>
      </x:c>
      <x:c r="R163" s="13" t="str">
        <x:f>IF(AND(A163&lt;&gt;"",B163&lt;&gt;"",ISNUMBER(P163),ISNUMBER(Q163)),P163-Q163,"")</x:f>
      </x:c>
      <x:c r="S163" s="13" t="str">
        <x:f>IF(COUNT(H163,J163)=2,J163-H163,"")</x:f>
      </x:c>
      <x:c r="T163" s="13" t="str">
        <x:f>IF(COUNT(I163,K163)=2,K163-I163,"")</x:f>
      </x:c>
      <x:c r="U163" s="10" t="str">
        <x:f>IF(NOT(OR(A163&lt;&gt;"",B163&lt;&gt;"",COUNT(D163:N163)&gt;0)),"",IF(OR(A163="",B163="",COUNT(D163:E163,H163:I163,L163:N163)&lt;&gt;7),"ناقص",IF(OR(MIN(D163:E163,H163:I163,L163:N163)&lt;0,Q163&lt;0),"ورودی نامعتبر",IF(R163&lt;0,"کسری",IF(R163&gt;0,"اضافه","بدون مغایرت")))))</x:f>
      </x:c>
      <x:c r="V163" s="10" t="str">
        <x:f>IF(OR(A163="",B163=""),"",IF(COUNTIFS($A$8:$A$507,A163,$B$8:$B$507,B163)&gt;1,"ثبت تکراری",""))</x:f>
      </x:c>
      <x:c r="W163" s="9"/>
    </x:row>
    <x:row r="164" ht="25" customHeight="1">
      <x:c r="A164" s="11"/>
      <x:c r="B164" s="11"/>
      <x:c r="C164" s="11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3" t="str">
        <x:f>IF(COUNT(D164:E164)=2,SUM(D164:E164),"")</x:f>
      </x:c>
      <x:c r="P164" s="13" t="str">
        <x:f>IF(COUNT(H164:I164)=2,SUM(H164:I164),"")</x:f>
      </x:c>
      <x:c r="Q164" s="13" t="str">
        <x:f>IF(AND(ISNUMBER(O164),COUNT(L164:N164)=3),O164+L164-M164-N164,"")</x:f>
      </x:c>
      <x:c r="R164" s="13" t="str">
        <x:f>IF(AND(A164&lt;&gt;"",B164&lt;&gt;"",ISNUMBER(P164),ISNUMBER(Q164)),P164-Q164,"")</x:f>
      </x:c>
      <x:c r="S164" s="13" t="str">
        <x:f>IF(COUNT(H164,J164)=2,J164-H164,"")</x:f>
      </x:c>
      <x:c r="T164" s="13" t="str">
        <x:f>IF(COUNT(I164,K164)=2,K164-I164,"")</x:f>
      </x:c>
      <x:c r="U164" s="10" t="str">
        <x:f>IF(NOT(OR(A164&lt;&gt;"",B164&lt;&gt;"",COUNT(D164:N164)&gt;0)),"",IF(OR(A164="",B164="",COUNT(D164:E164,H164:I164,L164:N164)&lt;&gt;7),"ناقص",IF(OR(MIN(D164:E164,H164:I164,L164:N164)&lt;0,Q164&lt;0),"ورودی نامعتبر",IF(R164&lt;0,"کسری",IF(R164&gt;0,"اضافه","بدون مغایرت")))))</x:f>
      </x:c>
      <x:c r="V164" s="10" t="str">
        <x:f>IF(OR(A164="",B164=""),"",IF(COUNTIFS($A$8:$A$507,A164,$B$8:$B$507,B164)&gt;1,"ثبت تکراری",""))</x:f>
      </x:c>
      <x:c r="W164" s="9"/>
    </x:row>
    <x:row r="165" ht="25" customHeight="1">
      <x:c r="A165" s="11"/>
      <x:c r="B165" s="11"/>
      <x:c r="C165" s="11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3" t="str">
        <x:f>IF(COUNT(D165:E165)=2,SUM(D165:E165),"")</x:f>
      </x:c>
      <x:c r="P165" s="13" t="str">
        <x:f>IF(COUNT(H165:I165)=2,SUM(H165:I165),"")</x:f>
      </x:c>
      <x:c r="Q165" s="13" t="str">
        <x:f>IF(AND(ISNUMBER(O165),COUNT(L165:N165)=3),O165+L165-M165-N165,"")</x:f>
      </x:c>
      <x:c r="R165" s="13" t="str">
        <x:f>IF(AND(A165&lt;&gt;"",B165&lt;&gt;"",ISNUMBER(P165),ISNUMBER(Q165)),P165-Q165,"")</x:f>
      </x:c>
      <x:c r="S165" s="13" t="str">
        <x:f>IF(COUNT(H165,J165)=2,J165-H165,"")</x:f>
      </x:c>
      <x:c r="T165" s="13" t="str">
        <x:f>IF(COUNT(I165,K165)=2,K165-I165,"")</x:f>
      </x:c>
      <x:c r="U165" s="10" t="str">
        <x:f>IF(NOT(OR(A165&lt;&gt;"",B165&lt;&gt;"",COUNT(D165:N165)&gt;0)),"",IF(OR(A165="",B165="",COUNT(D165:E165,H165:I165,L165:N165)&lt;&gt;7),"ناقص",IF(OR(MIN(D165:E165,H165:I165,L165:N165)&lt;0,Q165&lt;0),"ورودی نامعتبر",IF(R165&lt;0,"کسری",IF(R165&gt;0,"اضافه","بدون مغایرت")))))</x:f>
      </x:c>
      <x:c r="V165" s="10" t="str">
        <x:f>IF(OR(A165="",B165=""),"",IF(COUNTIFS($A$8:$A$507,A165,$B$8:$B$507,B165)&gt;1,"ثبت تکراری",""))</x:f>
      </x:c>
      <x:c r="W165" s="9"/>
    </x:row>
    <x:row r="166" ht="25" customHeight="1">
      <x:c r="A166" s="11"/>
      <x:c r="B166" s="11"/>
      <x:c r="C166" s="11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3" t="str">
        <x:f>IF(COUNT(D166:E166)=2,SUM(D166:E166),"")</x:f>
      </x:c>
      <x:c r="P166" s="13" t="str">
        <x:f>IF(COUNT(H166:I166)=2,SUM(H166:I166),"")</x:f>
      </x:c>
      <x:c r="Q166" s="13" t="str">
        <x:f>IF(AND(ISNUMBER(O166),COUNT(L166:N166)=3),O166+L166-M166-N166,"")</x:f>
      </x:c>
      <x:c r="R166" s="13" t="str">
        <x:f>IF(AND(A166&lt;&gt;"",B166&lt;&gt;"",ISNUMBER(P166),ISNUMBER(Q166)),P166-Q166,"")</x:f>
      </x:c>
      <x:c r="S166" s="13" t="str">
        <x:f>IF(COUNT(H166,J166)=2,J166-H166,"")</x:f>
      </x:c>
      <x:c r="T166" s="13" t="str">
        <x:f>IF(COUNT(I166,K166)=2,K166-I166,"")</x:f>
      </x:c>
      <x:c r="U166" s="10" t="str">
        <x:f>IF(NOT(OR(A166&lt;&gt;"",B166&lt;&gt;"",COUNT(D166:N166)&gt;0)),"",IF(OR(A166="",B166="",COUNT(D166:E166,H166:I166,L166:N166)&lt;&gt;7),"ناقص",IF(OR(MIN(D166:E166,H166:I166,L166:N166)&lt;0,Q166&lt;0),"ورودی نامعتبر",IF(R166&lt;0,"کسری",IF(R166&gt;0,"اضافه","بدون مغایرت")))))</x:f>
      </x:c>
      <x:c r="V166" s="10" t="str">
        <x:f>IF(OR(A166="",B166=""),"",IF(COUNTIFS($A$8:$A$507,A166,$B$8:$B$507,B166)&gt;1,"ثبت تکراری",""))</x:f>
      </x:c>
      <x:c r="W166" s="9"/>
    </x:row>
    <x:row r="167" ht="25" customHeight="1">
      <x:c r="A167" s="11"/>
      <x:c r="B167" s="11"/>
      <x:c r="C167" s="11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3" t="str">
        <x:f>IF(COUNT(D167:E167)=2,SUM(D167:E167),"")</x:f>
      </x:c>
      <x:c r="P167" s="13" t="str">
        <x:f>IF(COUNT(H167:I167)=2,SUM(H167:I167),"")</x:f>
      </x:c>
      <x:c r="Q167" s="13" t="str">
        <x:f>IF(AND(ISNUMBER(O167),COUNT(L167:N167)=3),O167+L167-M167-N167,"")</x:f>
      </x:c>
      <x:c r="R167" s="13" t="str">
        <x:f>IF(AND(A167&lt;&gt;"",B167&lt;&gt;"",ISNUMBER(P167),ISNUMBER(Q167)),P167-Q167,"")</x:f>
      </x:c>
      <x:c r="S167" s="13" t="str">
        <x:f>IF(COUNT(H167,J167)=2,J167-H167,"")</x:f>
      </x:c>
      <x:c r="T167" s="13" t="str">
        <x:f>IF(COUNT(I167,K167)=2,K167-I167,"")</x:f>
      </x:c>
      <x:c r="U167" s="10" t="str">
        <x:f>IF(NOT(OR(A167&lt;&gt;"",B167&lt;&gt;"",COUNT(D167:N167)&gt;0)),"",IF(OR(A167="",B167="",COUNT(D167:E167,H167:I167,L167:N167)&lt;&gt;7),"ناقص",IF(OR(MIN(D167:E167,H167:I167,L167:N167)&lt;0,Q167&lt;0),"ورودی نامعتبر",IF(R167&lt;0,"کسری",IF(R167&gt;0,"اضافه","بدون مغایرت")))))</x:f>
      </x:c>
      <x:c r="V167" s="10" t="str">
        <x:f>IF(OR(A167="",B167=""),"",IF(COUNTIFS($A$8:$A$507,A167,$B$8:$B$507,B167)&gt;1,"ثبت تکراری",""))</x:f>
      </x:c>
      <x:c r="W167" s="9"/>
    </x:row>
    <x:row r="168" ht="25" customHeight="1">
      <x:c r="A168" s="11"/>
      <x:c r="B168" s="11"/>
      <x:c r="C168" s="11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3" t="str">
        <x:f>IF(COUNT(D168:E168)=2,SUM(D168:E168),"")</x:f>
      </x:c>
      <x:c r="P168" s="13" t="str">
        <x:f>IF(COUNT(H168:I168)=2,SUM(H168:I168),"")</x:f>
      </x:c>
      <x:c r="Q168" s="13" t="str">
        <x:f>IF(AND(ISNUMBER(O168),COUNT(L168:N168)=3),O168+L168-M168-N168,"")</x:f>
      </x:c>
      <x:c r="R168" s="13" t="str">
        <x:f>IF(AND(A168&lt;&gt;"",B168&lt;&gt;"",ISNUMBER(P168),ISNUMBER(Q168)),P168-Q168,"")</x:f>
      </x:c>
      <x:c r="S168" s="13" t="str">
        <x:f>IF(COUNT(H168,J168)=2,J168-H168,"")</x:f>
      </x:c>
      <x:c r="T168" s="13" t="str">
        <x:f>IF(COUNT(I168,K168)=2,K168-I168,"")</x:f>
      </x:c>
      <x:c r="U168" s="10" t="str">
        <x:f>IF(NOT(OR(A168&lt;&gt;"",B168&lt;&gt;"",COUNT(D168:N168)&gt;0)),"",IF(OR(A168="",B168="",COUNT(D168:E168,H168:I168,L168:N168)&lt;&gt;7),"ناقص",IF(OR(MIN(D168:E168,H168:I168,L168:N168)&lt;0,Q168&lt;0),"ورودی نامعتبر",IF(R168&lt;0,"کسری",IF(R168&gt;0,"اضافه","بدون مغایرت")))))</x:f>
      </x:c>
      <x:c r="V168" s="10" t="str">
        <x:f>IF(OR(A168="",B168=""),"",IF(COUNTIFS($A$8:$A$507,A168,$B$8:$B$507,B168)&gt;1,"ثبت تکراری",""))</x:f>
      </x:c>
      <x:c r="W168" s="9"/>
    </x:row>
    <x:row r="169" ht="25" customHeight="1">
      <x:c r="A169" s="11"/>
      <x:c r="B169" s="11"/>
      <x:c r="C169" s="11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3" t="str">
        <x:f>IF(COUNT(D169:E169)=2,SUM(D169:E169),"")</x:f>
      </x:c>
      <x:c r="P169" s="13" t="str">
        <x:f>IF(COUNT(H169:I169)=2,SUM(H169:I169),"")</x:f>
      </x:c>
      <x:c r="Q169" s="13" t="str">
        <x:f>IF(AND(ISNUMBER(O169),COUNT(L169:N169)=3),O169+L169-M169-N169,"")</x:f>
      </x:c>
      <x:c r="R169" s="13" t="str">
        <x:f>IF(AND(A169&lt;&gt;"",B169&lt;&gt;"",ISNUMBER(P169),ISNUMBER(Q169)),P169-Q169,"")</x:f>
      </x:c>
      <x:c r="S169" s="13" t="str">
        <x:f>IF(COUNT(H169,J169)=2,J169-H169,"")</x:f>
      </x:c>
      <x:c r="T169" s="13" t="str">
        <x:f>IF(COUNT(I169,K169)=2,K169-I169,"")</x:f>
      </x:c>
      <x:c r="U169" s="10" t="str">
        <x:f>IF(NOT(OR(A169&lt;&gt;"",B169&lt;&gt;"",COUNT(D169:N169)&gt;0)),"",IF(OR(A169="",B169="",COUNT(D169:E169,H169:I169,L169:N169)&lt;&gt;7),"ناقص",IF(OR(MIN(D169:E169,H169:I169,L169:N169)&lt;0,Q169&lt;0),"ورودی نامعتبر",IF(R169&lt;0,"کسری",IF(R169&gt;0,"اضافه","بدون مغایرت")))))</x:f>
      </x:c>
      <x:c r="V169" s="10" t="str">
        <x:f>IF(OR(A169="",B169=""),"",IF(COUNTIFS($A$8:$A$507,A169,$B$8:$B$507,B169)&gt;1,"ثبت تکراری",""))</x:f>
      </x:c>
      <x:c r="W169" s="9"/>
    </x:row>
    <x:row r="170" ht="25" customHeight="1">
      <x:c r="A170" s="11"/>
      <x:c r="B170" s="11"/>
      <x:c r="C170" s="11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3" t="str">
        <x:f>IF(COUNT(D170:E170)=2,SUM(D170:E170),"")</x:f>
      </x:c>
      <x:c r="P170" s="13" t="str">
        <x:f>IF(COUNT(H170:I170)=2,SUM(H170:I170),"")</x:f>
      </x:c>
      <x:c r="Q170" s="13" t="str">
        <x:f>IF(AND(ISNUMBER(O170),COUNT(L170:N170)=3),O170+L170-M170-N170,"")</x:f>
      </x:c>
      <x:c r="R170" s="13" t="str">
        <x:f>IF(AND(A170&lt;&gt;"",B170&lt;&gt;"",ISNUMBER(P170),ISNUMBER(Q170)),P170-Q170,"")</x:f>
      </x:c>
      <x:c r="S170" s="13" t="str">
        <x:f>IF(COUNT(H170,J170)=2,J170-H170,"")</x:f>
      </x:c>
      <x:c r="T170" s="13" t="str">
        <x:f>IF(COUNT(I170,K170)=2,K170-I170,"")</x:f>
      </x:c>
      <x:c r="U170" s="10" t="str">
        <x:f>IF(NOT(OR(A170&lt;&gt;"",B170&lt;&gt;"",COUNT(D170:N170)&gt;0)),"",IF(OR(A170="",B170="",COUNT(D170:E170,H170:I170,L170:N170)&lt;&gt;7),"ناقص",IF(OR(MIN(D170:E170,H170:I170,L170:N170)&lt;0,Q170&lt;0),"ورودی نامعتبر",IF(R170&lt;0,"کسری",IF(R170&gt;0,"اضافه","بدون مغایرت")))))</x:f>
      </x:c>
      <x:c r="V170" s="10" t="str">
        <x:f>IF(OR(A170="",B170=""),"",IF(COUNTIFS($A$8:$A$507,A170,$B$8:$B$507,B170)&gt;1,"ثبت تکراری",""))</x:f>
      </x:c>
      <x:c r="W170" s="9"/>
    </x:row>
    <x:row r="171" ht="25" customHeight="1">
      <x:c r="A171" s="11"/>
      <x:c r="B171" s="11"/>
      <x:c r="C171" s="11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3" t="str">
        <x:f>IF(COUNT(D171:E171)=2,SUM(D171:E171),"")</x:f>
      </x:c>
      <x:c r="P171" s="13" t="str">
        <x:f>IF(COUNT(H171:I171)=2,SUM(H171:I171),"")</x:f>
      </x:c>
      <x:c r="Q171" s="13" t="str">
        <x:f>IF(AND(ISNUMBER(O171),COUNT(L171:N171)=3),O171+L171-M171-N171,"")</x:f>
      </x:c>
      <x:c r="R171" s="13" t="str">
        <x:f>IF(AND(A171&lt;&gt;"",B171&lt;&gt;"",ISNUMBER(P171),ISNUMBER(Q171)),P171-Q171,"")</x:f>
      </x:c>
      <x:c r="S171" s="13" t="str">
        <x:f>IF(COUNT(H171,J171)=2,J171-H171,"")</x:f>
      </x:c>
      <x:c r="T171" s="13" t="str">
        <x:f>IF(COUNT(I171,K171)=2,K171-I171,"")</x:f>
      </x:c>
      <x:c r="U171" s="10" t="str">
        <x:f>IF(NOT(OR(A171&lt;&gt;"",B171&lt;&gt;"",COUNT(D171:N171)&gt;0)),"",IF(OR(A171="",B171="",COUNT(D171:E171,H171:I171,L171:N171)&lt;&gt;7),"ناقص",IF(OR(MIN(D171:E171,H171:I171,L171:N171)&lt;0,Q171&lt;0),"ورودی نامعتبر",IF(R171&lt;0,"کسری",IF(R171&gt;0,"اضافه","بدون مغایرت")))))</x:f>
      </x:c>
      <x:c r="V171" s="10" t="str">
        <x:f>IF(OR(A171="",B171=""),"",IF(COUNTIFS($A$8:$A$507,A171,$B$8:$B$507,B171)&gt;1,"ثبت تکراری",""))</x:f>
      </x:c>
      <x:c r="W171" s="9"/>
    </x:row>
    <x:row r="172" ht="25" customHeight="1">
      <x:c r="A172" s="11"/>
      <x:c r="B172" s="11"/>
      <x:c r="C172" s="11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3" t="str">
        <x:f>IF(COUNT(D172:E172)=2,SUM(D172:E172),"")</x:f>
      </x:c>
      <x:c r="P172" s="13" t="str">
        <x:f>IF(COUNT(H172:I172)=2,SUM(H172:I172),"")</x:f>
      </x:c>
      <x:c r="Q172" s="13" t="str">
        <x:f>IF(AND(ISNUMBER(O172),COUNT(L172:N172)=3),O172+L172-M172-N172,"")</x:f>
      </x:c>
      <x:c r="R172" s="13" t="str">
        <x:f>IF(AND(A172&lt;&gt;"",B172&lt;&gt;"",ISNUMBER(P172),ISNUMBER(Q172)),P172-Q172,"")</x:f>
      </x:c>
      <x:c r="S172" s="13" t="str">
        <x:f>IF(COUNT(H172,J172)=2,J172-H172,"")</x:f>
      </x:c>
      <x:c r="T172" s="13" t="str">
        <x:f>IF(COUNT(I172,K172)=2,K172-I172,"")</x:f>
      </x:c>
      <x:c r="U172" s="10" t="str">
        <x:f>IF(NOT(OR(A172&lt;&gt;"",B172&lt;&gt;"",COUNT(D172:N172)&gt;0)),"",IF(OR(A172="",B172="",COUNT(D172:E172,H172:I172,L172:N172)&lt;&gt;7),"ناقص",IF(OR(MIN(D172:E172,H172:I172,L172:N172)&lt;0,Q172&lt;0),"ورودی نامعتبر",IF(R172&lt;0,"کسری",IF(R172&gt;0,"اضافه","بدون مغایرت")))))</x:f>
      </x:c>
      <x:c r="V172" s="10" t="str">
        <x:f>IF(OR(A172="",B172=""),"",IF(COUNTIFS($A$8:$A$507,A172,$B$8:$B$507,B172)&gt;1,"ثبت تکراری",""))</x:f>
      </x:c>
      <x:c r="W172" s="9"/>
    </x:row>
    <x:row r="173" ht="25" customHeight="1">
      <x:c r="A173" s="11"/>
      <x:c r="B173" s="11"/>
      <x:c r="C173" s="11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3" t="str">
        <x:f>IF(COUNT(D173:E173)=2,SUM(D173:E173),"")</x:f>
      </x:c>
      <x:c r="P173" s="13" t="str">
        <x:f>IF(COUNT(H173:I173)=2,SUM(H173:I173),"")</x:f>
      </x:c>
      <x:c r="Q173" s="13" t="str">
        <x:f>IF(AND(ISNUMBER(O173),COUNT(L173:N173)=3),O173+L173-M173-N173,"")</x:f>
      </x:c>
      <x:c r="R173" s="13" t="str">
        <x:f>IF(AND(A173&lt;&gt;"",B173&lt;&gt;"",ISNUMBER(P173),ISNUMBER(Q173)),P173-Q173,"")</x:f>
      </x:c>
      <x:c r="S173" s="13" t="str">
        <x:f>IF(COUNT(H173,J173)=2,J173-H173,"")</x:f>
      </x:c>
      <x:c r="T173" s="13" t="str">
        <x:f>IF(COUNT(I173,K173)=2,K173-I173,"")</x:f>
      </x:c>
      <x:c r="U173" s="10" t="str">
        <x:f>IF(NOT(OR(A173&lt;&gt;"",B173&lt;&gt;"",COUNT(D173:N173)&gt;0)),"",IF(OR(A173="",B173="",COUNT(D173:E173,H173:I173,L173:N173)&lt;&gt;7),"ناقص",IF(OR(MIN(D173:E173,H173:I173,L173:N173)&lt;0,Q173&lt;0),"ورودی نامعتبر",IF(R173&lt;0,"کسری",IF(R173&gt;0,"اضافه","بدون مغایرت")))))</x:f>
      </x:c>
      <x:c r="V173" s="10" t="str">
        <x:f>IF(OR(A173="",B173=""),"",IF(COUNTIFS($A$8:$A$507,A173,$B$8:$B$507,B173)&gt;1,"ثبت تکراری",""))</x:f>
      </x:c>
      <x:c r="W173" s="9"/>
    </x:row>
    <x:row r="174" ht="25" customHeight="1">
      <x:c r="A174" s="11"/>
      <x:c r="B174" s="11"/>
      <x:c r="C174" s="11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3" t="str">
        <x:f>IF(COUNT(D174:E174)=2,SUM(D174:E174),"")</x:f>
      </x:c>
      <x:c r="P174" s="13" t="str">
        <x:f>IF(COUNT(H174:I174)=2,SUM(H174:I174),"")</x:f>
      </x:c>
      <x:c r="Q174" s="13" t="str">
        <x:f>IF(AND(ISNUMBER(O174),COUNT(L174:N174)=3),O174+L174-M174-N174,"")</x:f>
      </x:c>
      <x:c r="R174" s="13" t="str">
        <x:f>IF(AND(A174&lt;&gt;"",B174&lt;&gt;"",ISNUMBER(P174),ISNUMBER(Q174)),P174-Q174,"")</x:f>
      </x:c>
      <x:c r="S174" s="13" t="str">
        <x:f>IF(COUNT(H174,J174)=2,J174-H174,"")</x:f>
      </x:c>
      <x:c r="T174" s="13" t="str">
        <x:f>IF(COUNT(I174,K174)=2,K174-I174,"")</x:f>
      </x:c>
      <x:c r="U174" s="10" t="str">
        <x:f>IF(NOT(OR(A174&lt;&gt;"",B174&lt;&gt;"",COUNT(D174:N174)&gt;0)),"",IF(OR(A174="",B174="",COUNT(D174:E174,H174:I174,L174:N174)&lt;&gt;7),"ناقص",IF(OR(MIN(D174:E174,H174:I174,L174:N174)&lt;0,Q174&lt;0),"ورودی نامعتبر",IF(R174&lt;0,"کسری",IF(R174&gt;0,"اضافه","بدون مغایرت")))))</x:f>
      </x:c>
      <x:c r="V174" s="10" t="str">
        <x:f>IF(OR(A174="",B174=""),"",IF(COUNTIFS($A$8:$A$507,A174,$B$8:$B$507,B174)&gt;1,"ثبت تکراری",""))</x:f>
      </x:c>
      <x:c r="W174" s="9"/>
    </x:row>
    <x:row r="175" ht="25" customHeight="1">
      <x:c r="A175" s="11"/>
      <x:c r="B175" s="11"/>
      <x:c r="C175" s="11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3" t="str">
        <x:f>IF(COUNT(D175:E175)=2,SUM(D175:E175),"")</x:f>
      </x:c>
      <x:c r="P175" s="13" t="str">
        <x:f>IF(COUNT(H175:I175)=2,SUM(H175:I175),"")</x:f>
      </x:c>
      <x:c r="Q175" s="13" t="str">
        <x:f>IF(AND(ISNUMBER(O175),COUNT(L175:N175)=3),O175+L175-M175-N175,"")</x:f>
      </x:c>
      <x:c r="R175" s="13" t="str">
        <x:f>IF(AND(A175&lt;&gt;"",B175&lt;&gt;"",ISNUMBER(P175),ISNUMBER(Q175)),P175-Q175,"")</x:f>
      </x:c>
      <x:c r="S175" s="13" t="str">
        <x:f>IF(COUNT(H175,J175)=2,J175-H175,"")</x:f>
      </x:c>
      <x:c r="T175" s="13" t="str">
        <x:f>IF(COUNT(I175,K175)=2,K175-I175,"")</x:f>
      </x:c>
      <x:c r="U175" s="10" t="str">
        <x:f>IF(NOT(OR(A175&lt;&gt;"",B175&lt;&gt;"",COUNT(D175:N175)&gt;0)),"",IF(OR(A175="",B175="",COUNT(D175:E175,H175:I175,L175:N175)&lt;&gt;7),"ناقص",IF(OR(MIN(D175:E175,H175:I175,L175:N175)&lt;0,Q175&lt;0),"ورودی نامعتبر",IF(R175&lt;0,"کسری",IF(R175&gt;0,"اضافه","بدون مغایرت")))))</x:f>
      </x:c>
      <x:c r="V175" s="10" t="str">
        <x:f>IF(OR(A175="",B175=""),"",IF(COUNTIFS($A$8:$A$507,A175,$B$8:$B$507,B175)&gt;1,"ثبت تکراری",""))</x:f>
      </x:c>
      <x:c r="W175" s="9"/>
    </x:row>
    <x:row r="176" ht="25" customHeight="1">
      <x:c r="A176" s="11"/>
      <x:c r="B176" s="11"/>
      <x:c r="C176" s="11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3" t="str">
        <x:f>IF(COUNT(D176:E176)=2,SUM(D176:E176),"")</x:f>
      </x:c>
      <x:c r="P176" s="13" t="str">
        <x:f>IF(COUNT(H176:I176)=2,SUM(H176:I176),"")</x:f>
      </x:c>
      <x:c r="Q176" s="13" t="str">
        <x:f>IF(AND(ISNUMBER(O176),COUNT(L176:N176)=3),O176+L176-M176-N176,"")</x:f>
      </x:c>
      <x:c r="R176" s="13" t="str">
        <x:f>IF(AND(A176&lt;&gt;"",B176&lt;&gt;"",ISNUMBER(P176),ISNUMBER(Q176)),P176-Q176,"")</x:f>
      </x:c>
      <x:c r="S176" s="13" t="str">
        <x:f>IF(COUNT(H176,J176)=2,J176-H176,"")</x:f>
      </x:c>
      <x:c r="T176" s="13" t="str">
        <x:f>IF(COUNT(I176,K176)=2,K176-I176,"")</x:f>
      </x:c>
      <x:c r="U176" s="10" t="str">
        <x:f>IF(NOT(OR(A176&lt;&gt;"",B176&lt;&gt;"",COUNT(D176:N176)&gt;0)),"",IF(OR(A176="",B176="",COUNT(D176:E176,H176:I176,L176:N176)&lt;&gt;7),"ناقص",IF(OR(MIN(D176:E176,H176:I176,L176:N176)&lt;0,Q176&lt;0),"ورودی نامعتبر",IF(R176&lt;0,"کسری",IF(R176&gt;0,"اضافه","بدون مغایرت")))))</x:f>
      </x:c>
      <x:c r="V176" s="10" t="str">
        <x:f>IF(OR(A176="",B176=""),"",IF(COUNTIFS($A$8:$A$507,A176,$B$8:$B$507,B176)&gt;1,"ثبت تکراری",""))</x:f>
      </x:c>
      <x:c r="W176" s="9"/>
    </x:row>
    <x:row r="177" ht="25" customHeight="1">
      <x:c r="A177" s="11"/>
      <x:c r="B177" s="11"/>
      <x:c r="C177" s="11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3" t="str">
        <x:f>IF(COUNT(D177:E177)=2,SUM(D177:E177),"")</x:f>
      </x:c>
      <x:c r="P177" s="13" t="str">
        <x:f>IF(COUNT(H177:I177)=2,SUM(H177:I177),"")</x:f>
      </x:c>
      <x:c r="Q177" s="13" t="str">
        <x:f>IF(AND(ISNUMBER(O177),COUNT(L177:N177)=3),O177+L177-M177-N177,"")</x:f>
      </x:c>
      <x:c r="R177" s="13" t="str">
        <x:f>IF(AND(A177&lt;&gt;"",B177&lt;&gt;"",ISNUMBER(P177),ISNUMBER(Q177)),P177-Q177,"")</x:f>
      </x:c>
      <x:c r="S177" s="13" t="str">
        <x:f>IF(COUNT(H177,J177)=2,J177-H177,"")</x:f>
      </x:c>
      <x:c r="T177" s="13" t="str">
        <x:f>IF(COUNT(I177,K177)=2,K177-I177,"")</x:f>
      </x:c>
      <x:c r="U177" s="10" t="str">
        <x:f>IF(NOT(OR(A177&lt;&gt;"",B177&lt;&gt;"",COUNT(D177:N177)&gt;0)),"",IF(OR(A177="",B177="",COUNT(D177:E177,H177:I177,L177:N177)&lt;&gt;7),"ناقص",IF(OR(MIN(D177:E177,H177:I177,L177:N177)&lt;0,Q177&lt;0),"ورودی نامعتبر",IF(R177&lt;0,"کسری",IF(R177&gt;0,"اضافه","بدون مغایرت")))))</x:f>
      </x:c>
      <x:c r="V177" s="10" t="str">
        <x:f>IF(OR(A177="",B177=""),"",IF(COUNTIFS($A$8:$A$507,A177,$B$8:$B$507,B177)&gt;1,"ثبت تکراری",""))</x:f>
      </x:c>
      <x:c r="W177" s="9"/>
    </x:row>
    <x:row r="178" ht="25" customHeight="1">
      <x:c r="A178" s="11"/>
      <x:c r="B178" s="11"/>
      <x:c r="C178" s="11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3" t="str">
        <x:f>IF(COUNT(D178:E178)=2,SUM(D178:E178),"")</x:f>
      </x:c>
      <x:c r="P178" s="13" t="str">
        <x:f>IF(COUNT(H178:I178)=2,SUM(H178:I178),"")</x:f>
      </x:c>
      <x:c r="Q178" s="13" t="str">
        <x:f>IF(AND(ISNUMBER(O178),COUNT(L178:N178)=3),O178+L178-M178-N178,"")</x:f>
      </x:c>
      <x:c r="R178" s="13" t="str">
        <x:f>IF(AND(A178&lt;&gt;"",B178&lt;&gt;"",ISNUMBER(P178),ISNUMBER(Q178)),P178-Q178,"")</x:f>
      </x:c>
      <x:c r="S178" s="13" t="str">
        <x:f>IF(COUNT(H178,J178)=2,J178-H178,"")</x:f>
      </x:c>
      <x:c r="T178" s="13" t="str">
        <x:f>IF(COUNT(I178,K178)=2,K178-I178,"")</x:f>
      </x:c>
      <x:c r="U178" s="10" t="str">
        <x:f>IF(NOT(OR(A178&lt;&gt;"",B178&lt;&gt;"",COUNT(D178:N178)&gt;0)),"",IF(OR(A178="",B178="",COUNT(D178:E178,H178:I178,L178:N178)&lt;&gt;7),"ناقص",IF(OR(MIN(D178:E178,H178:I178,L178:N178)&lt;0,Q178&lt;0),"ورودی نامعتبر",IF(R178&lt;0,"کسری",IF(R178&gt;0,"اضافه","بدون مغایرت")))))</x:f>
      </x:c>
      <x:c r="V178" s="10" t="str">
        <x:f>IF(OR(A178="",B178=""),"",IF(COUNTIFS($A$8:$A$507,A178,$B$8:$B$507,B178)&gt;1,"ثبت تکراری",""))</x:f>
      </x:c>
      <x:c r="W178" s="9"/>
    </x:row>
    <x:row r="179" ht="25" customHeight="1">
      <x:c r="A179" s="11"/>
      <x:c r="B179" s="11"/>
      <x:c r="C179" s="11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3" t="str">
        <x:f>IF(COUNT(D179:E179)=2,SUM(D179:E179),"")</x:f>
      </x:c>
      <x:c r="P179" s="13" t="str">
        <x:f>IF(COUNT(H179:I179)=2,SUM(H179:I179),"")</x:f>
      </x:c>
      <x:c r="Q179" s="13" t="str">
        <x:f>IF(AND(ISNUMBER(O179),COUNT(L179:N179)=3),O179+L179-M179-N179,"")</x:f>
      </x:c>
      <x:c r="R179" s="13" t="str">
        <x:f>IF(AND(A179&lt;&gt;"",B179&lt;&gt;"",ISNUMBER(P179),ISNUMBER(Q179)),P179-Q179,"")</x:f>
      </x:c>
      <x:c r="S179" s="13" t="str">
        <x:f>IF(COUNT(H179,J179)=2,J179-H179,"")</x:f>
      </x:c>
      <x:c r="T179" s="13" t="str">
        <x:f>IF(COUNT(I179,K179)=2,K179-I179,"")</x:f>
      </x:c>
      <x:c r="U179" s="10" t="str">
        <x:f>IF(NOT(OR(A179&lt;&gt;"",B179&lt;&gt;"",COUNT(D179:N179)&gt;0)),"",IF(OR(A179="",B179="",COUNT(D179:E179,H179:I179,L179:N179)&lt;&gt;7),"ناقص",IF(OR(MIN(D179:E179,H179:I179,L179:N179)&lt;0,Q179&lt;0),"ورودی نامعتبر",IF(R179&lt;0,"کسری",IF(R179&gt;0,"اضافه","بدون مغایرت")))))</x:f>
      </x:c>
      <x:c r="V179" s="10" t="str">
        <x:f>IF(OR(A179="",B179=""),"",IF(COUNTIFS($A$8:$A$507,A179,$B$8:$B$507,B179)&gt;1,"ثبت تکراری",""))</x:f>
      </x:c>
      <x:c r="W179" s="9"/>
    </x:row>
    <x:row r="180" ht="25" customHeight="1">
      <x:c r="A180" s="11"/>
      <x:c r="B180" s="11"/>
      <x:c r="C180" s="11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3" t="str">
        <x:f>IF(COUNT(D180:E180)=2,SUM(D180:E180),"")</x:f>
      </x:c>
      <x:c r="P180" s="13" t="str">
        <x:f>IF(COUNT(H180:I180)=2,SUM(H180:I180),"")</x:f>
      </x:c>
      <x:c r="Q180" s="13" t="str">
        <x:f>IF(AND(ISNUMBER(O180),COUNT(L180:N180)=3),O180+L180-M180-N180,"")</x:f>
      </x:c>
      <x:c r="R180" s="13" t="str">
        <x:f>IF(AND(A180&lt;&gt;"",B180&lt;&gt;"",ISNUMBER(P180),ISNUMBER(Q180)),P180-Q180,"")</x:f>
      </x:c>
      <x:c r="S180" s="13" t="str">
        <x:f>IF(COUNT(H180,J180)=2,J180-H180,"")</x:f>
      </x:c>
      <x:c r="T180" s="13" t="str">
        <x:f>IF(COUNT(I180,K180)=2,K180-I180,"")</x:f>
      </x:c>
      <x:c r="U180" s="10" t="str">
        <x:f>IF(NOT(OR(A180&lt;&gt;"",B180&lt;&gt;"",COUNT(D180:N180)&gt;0)),"",IF(OR(A180="",B180="",COUNT(D180:E180,H180:I180,L180:N180)&lt;&gt;7),"ناقص",IF(OR(MIN(D180:E180,H180:I180,L180:N180)&lt;0,Q180&lt;0),"ورودی نامعتبر",IF(R180&lt;0,"کسری",IF(R180&gt;0,"اضافه","بدون مغایرت")))))</x:f>
      </x:c>
      <x:c r="V180" s="10" t="str">
        <x:f>IF(OR(A180="",B180=""),"",IF(COUNTIFS($A$8:$A$507,A180,$B$8:$B$507,B180)&gt;1,"ثبت تکراری",""))</x:f>
      </x:c>
      <x:c r="W180" s="9"/>
    </x:row>
    <x:row r="181" ht="25" customHeight="1">
      <x:c r="A181" s="11"/>
      <x:c r="B181" s="11"/>
      <x:c r="C181" s="11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3" t="str">
        <x:f>IF(COUNT(D181:E181)=2,SUM(D181:E181),"")</x:f>
      </x:c>
      <x:c r="P181" s="13" t="str">
        <x:f>IF(COUNT(H181:I181)=2,SUM(H181:I181),"")</x:f>
      </x:c>
      <x:c r="Q181" s="13" t="str">
        <x:f>IF(AND(ISNUMBER(O181),COUNT(L181:N181)=3),O181+L181-M181-N181,"")</x:f>
      </x:c>
      <x:c r="R181" s="13" t="str">
        <x:f>IF(AND(A181&lt;&gt;"",B181&lt;&gt;"",ISNUMBER(P181),ISNUMBER(Q181)),P181-Q181,"")</x:f>
      </x:c>
      <x:c r="S181" s="13" t="str">
        <x:f>IF(COUNT(H181,J181)=2,J181-H181,"")</x:f>
      </x:c>
      <x:c r="T181" s="13" t="str">
        <x:f>IF(COUNT(I181,K181)=2,K181-I181,"")</x:f>
      </x:c>
      <x:c r="U181" s="10" t="str">
        <x:f>IF(NOT(OR(A181&lt;&gt;"",B181&lt;&gt;"",COUNT(D181:N181)&gt;0)),"",IF(OR(A181="",B181="",COUNT(D181:E181,H181:I181,L181:N181)&lt;&gt;7),"ناقص",IF(OR(MIN(D181:E181,H181:I181,L181:N181)&lt;0,Q181&lt;0),"ورودی نامعتبر",IF(R181&lt;0,"کسری",IF(R181&gt;0,"اضافه","بدون مغایرت")))))</x:f>
      </x:c>
      <x:c r="V181" s="10" t="str">
        <x:f>IF(OR(A181="",B181=""),"",IF(COUNTIFS($A$8:$A$507,A181,$B$8:$B$507,B181)&gt;1,"ثبت تکراری",""))</x:f>
      </x:c>
      <x:c r="W181" s="9"/>
    </x:row>
    <x:row r="182" ht="25" customHeight="1">
      <x:c r="A182" s="11"/>
      <x:c r="B182" s="11"/>
      <x:c r="C182" s="11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3" t="str">
        <x:f>IF(COUNT(D182:E182)=2,SUM(D182:E182),"")</x:f>
      </x:c>
      <x:c r="P182" s="13" t="str">
        <x:f>IF(COUNT(H182:I182)=2,SUM(H182:I182),"")</x:f>
      </x:c>
      <x:c r="Q182" s="13" t="str">
        <x:f>IF(AND(ISNUMBER(O182),COUNT(L182:N182)=3),O182+L182-M182-N182,"")</x:f>
      </x:c>
      <x:c r="R182" s="13" t="str">
        <x:f>IF(AND(A182&lt;&gt;"",B182&lt;&gt;"",ISNUMBER(P182),ISNUMBER(Q182)),P182-Q182,"")</x:f>
      </x:c>
      <x:c r="S182" s="13" t="str">
        <x:f>IF(COUNT(H182,J182)=2,J182-H182,"")</x:f>
      </x:c>
      <x:c r="T182" s="13" t="str">
        <x:f>IF(COUNT(I182,K182)=2,K182-I182,"")</x:f>
      </x:c>
      <x:c r="U182" s="10" t="str">
        <x:f>IF(NOT(OR(A182&lt;&gt;"",B182&lt;&gt;"",COUNT(D182:N182)&gt;0)),"",IF(OR(A182="",B182="",COUNT(D182:E182,H182:I182,L182:N182)&lt;&gt;7),"ناقص",IF(OR(MIN(D182:E182,H182:I182,L182:N182)&lt;0,Q182&lt;0),"ورودی نامعتبر",IF(R182&lt;0,"کسری",IF(R182&gt;0,"اضافه","بدون مغایرت")))))</x:f>
      </x:c>
      <x:c r="V182" s="10" t="str">
        <x:f>IF(OR(A182="",B182=""),"",IF(COUNTIFS($A$8:$A$507,A182,$B$8:$B$507,B182)&gt;1,"ثبت تکراری",""))</x:f>
      </x:c>
      <x:c r="W182" s="9"/>
    </x:row>
    <x:row r="183" ht="25" customHeight="1">
      <x:c r="A183" s="11"/>
      <x:c r="B183" s="11"/>
      <x:c r="C183" s="11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3" t="str">
        <x:f>IF(COUNT(D183:E183)=2,SUM(D183:E183),"")</x:f>
      </x:c>
      <x:c r="P183" s="13" t="str">
        <x:f>IF(COUNT(H183:I183)=2,SUM(H183:I183),"")</x:f>
      </x:c>
      <x:c r="Q183" s="13" t="str">
        <x:f>IF(AND(ISNUMBER(O183),COUNT(L183:N183)=3),O183+L183-M183-N183,"")</x:f>
      </x:c>
      <x:c r="R183" s="13" t="str">
        <x:f>IF(AND(A183&lt;&gt;"",B183&lt;&gt;"",ISNUMBER(P183),ISNUMBER(Q183)),P183-Q183,"")</x:f>
      </x:c>
      <x:c r="S183" s="13" t="str">
        <x:f>IF(COUNT(H183,J183)=2,J183-H183,"")</x:f>
      </x:c>
      <x:c r="T183" s="13" t="str">
        <x:f>IF(COUNT(I183,K183)=2,K183-I183,"")</x:f>
      </x:c>
      <x:c r="U183" s="10" t="str">
        <x:f>IF(NOT(OR(A183&lt;&gt;"",B183&lt;&gt;"",COUNT(D183:N183)&gt;0)),"",IF(OR(A183="",B183="",COUNT(D183:E183,H183:I183,L183:N183)&lt;&gt;7),"ناقص",IF(OR(MIN(D183:E183,H183:I183,L183:N183)&lt;0,Q183&lt;0),"ورودی نامعتبر",IF(R183&lt;0,"کسری",IF(R183&gt;0,"اضافه","بدون مغایرت")))))</x:f>
      </x:c>
      <x:c r="V183" s="10" t="str">
        <x:f>IF(OR(A183="",B183=""),"",IF(COUNTIFS($A$8:$A$507,A183,$B$8:$B$507,B183)&gt;1,"ثبت تکراری",""))</x:f>
      </x:c>
      <x:c r="W183" s="9"/>
    </x:row>
    <x:row r="184" ht="25" customHeight="1">
      <x:c r="A184" s="11"/>
      <x:c r="B184" s="11"/>
      <x:c r="C184" s="11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3" t="str">
        <x:f>IF(COUNT(D184:E184)=2,SUM(D184:E184),"")</x:f>
      </x:c>
      <x:c r="P184" s="13" t="str">
        <x:f>IF(COUNT(H184:I184)=2,SUM(H184:I184),"")</x:f>
      </x:c>
      <x:c r="Q184" s="13" t="str">
        <x:f>IF(AND(ISNUMBER(O184),COUNT(L184:N184)=3),O184+L184-M184-N184,"")</x:f>
      </x:c>
      <x:c r="R184" s="13" t="str">
        <x:f>IF(AND(A184&lt;&gt;"",B184&lt;&gt;"",ISNUMBER(P184),ISNUMBER(Q184)),P184-Q184,"")</x:f>
      </x:c>
      <x:c r="S184" s="13" t="str">
        <x:f>IF(COUNT(H184,J184)=2,J184-H184,"")</x:f>
      </x:c>
      <x:c r="T184" s="13" t="str">
        <x:f>IF(COUNT(I184,K184)=2,K184-I184,"")</x:f>
      </x:c>
      <x:c r="U184" s="10" t="str">
        <x:f>IF(NOT(OR(A184&lt;&gt;"",B184&lt;&gt;"",COUNT(D184:N184)&gt;0)),"",IF(OR(A184="",B184="",COUNT(D184:E184,H184:I184,L184:N184)&lt;&gt;7),"ناقص",IF(OR(MIN(D184:E184,H184:I184,L184:N184)&lt;0,Q184&lt;0),"ورودی نامعتبر",IF(R184&lt;0,"کسری",IF(R184&gt;0,"اضافه","بدون مغایرت")))))</x:f>
      </x:c>
      <x:c r="V184" s="10" t="str">
        <x:f>IF(OR(A184="",B184=""),"",IF(COUNTIFS($A$8:$A$507,A184,$B$8:$B$507,B184)&gt;1,"ثبت تکراری",""))</x:f>
      </x:c>
      <x:c r="W184" s="9"/>
    </x:row>
    <x:row r="185" ht="25" customHeight="1">
      <x:c r="A185" s="11"/>
      <x:c r="B185" s="11"/>
      <x:c r="C185" s="11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3" t="str">
        <x:f>IF(COUNT(D185:E185)=2,SUM(D185:E185),"")</x:f>
      </x:c>
      <x:c r="P185" s="13" t="str">
        <x:f>IF(COUNT(H185:I185)=2,SUM(H185:I185),"")</x:f>
      </x:c>
      <x:c r="Q185" s="13" t="str">
        <x:f>IF(AND(ISNUMBER(O185),COUNT(L185:N185)=3),O185+L185-M185-N185,"")</x:f>
      </x:c>
      <x:c r="R185" s="13" t="str">
        <x:f>IF(AND(A185&lt;&gt;"",B185&lt;&gt;"",ISNUMBER(P185),ISNUMBER(Q185)),P185-Q185,"")</x:f>
      </x:c>
      <x:c r="S185" s="13" t="str">
        <x:f>IF(COUNT(H185,J185)=2,J185-H185,"")</x:f>
      </x:c>
      <x:c r="T185" s="13" t="str">
        <x:f>IF(COUNT(I185,K185)=2,K185-I185,"")</x:f>
      </x:c>
      <x:c r="U185" s="10" t="str">
        <x:f>IF(NOT(OR(A185&lt;&gt;"",B185&lt;&gt;"",COUNT(D185:N185)&gt;0)),"",IF(OR(A185="",B185="",COUNT(D185:E185,H185:I185,L185:N185)&lt;&gt;7),"ناقص",IF(OR(MIN(D185:E185,H185:I185,L185:N185)&lt;0,Q185&lt;0),"ورودی نامعتبر",IF(R185&lt;0,"کسری",IF(R185&gt;0,"اضافه","بدون مغایرت")))))</x:f>
      </x:c>
      <x:c r="V185" s="10" t="str">
        <x:f>IF(OR(A185="",B185=""),"",IF(COUNTIFS($A$8:$A$507,A185,$B$8:$B$507,B185)&gt;1,"ثبت تکراری",""))</x:f>
      </x:c>
      <x:c r="W185" s="9"/>
    </x:row>
    <x:row r="186" ht="25" customHeight="1">
      <x:c r="A186" s="11"/>
      <x:c r="B186" s="11"/>
      <x:c r="C186" s="11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3" t="str">
        <x:f>IF(COUNT(D186:E186)=2,SUM(D186:E186),"")</x:f>
      </x:c>
      <x:c r="P186" s="13" t="str">
        <x:f>IF(COUNT(H186:I186)=2,SUM(H186:I186),"")</x:f>
      </x:c>
      <x:c r="Q186" s="13" t="str">
        <x:f>IF(AND(ISNUMBER(O186),COUNT(L186:N186)=3),O186+L186-M186-N186,"")</x:f>
      </x:c>
      <x:c r="R186" s="13" t="str">
        <x:f>IF(AND(A186&lt;&gt;"",B186&lt;&gt;"",ISNUMBER(P186),ISNUMBER(Q186)),P186-Q186,"")</x:f>
      </x:c>
      <x:c r="S186" s="13" t="str">
        <x:f>IF(COUNT(H186,J186)=2,J186-H186,"")</x:f>
      </x:c>
      <x:c r="T186" s="13" t="str">
        <x:f>IF(COUNT(I186,K186)=2,K186-I186,"")</x:f>
      </x:c>
      <x:c r="U186" s="10" t="str">
        <x:f>IF(NOT(OR(A186&lt;&gt;"",B186&lt;&gt;"",COUNT(D186:N186)&gt;0)),"",IF(OR(A186="",B186="",COUNT(D186:E186,H186:I186,L186:N186)&lt;&gt;7),"ناقص",IF(OR(MIN(D186:E186,H186:I186,L186:N186)&lt;0,Q186&lt;0),"ورودی نامعتبر",IF(R186&lt;0,"کسری",IF(R186&gt;0,"اضافه","بدون مغایرت")))))</x:f>
      </x:c>
      <x:c r="V186" s="10" t="str">
        <x:f>IF(OR(A186="",B186=""),"",IF(COUNTIFS($A$8:$A$507,A186,$B$8:$B$507,B186)&gt;1,"ثبت تکراری",""))</x:f>
      </x:c>
      <x:c r="W186" s="9"/>
    </x:row>
    <x:row r="187" ht="25" customHeight="1">
      <x:c r="A187" s="11"/>
      <x:c r="B187" s="11"/>
      <x:c r="C187" s="11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3" t="str">
        <x:f>IF(COUNT(D187:E187)=2,SUM(D187:E187),"")</x:f>
      </x:c>
      <x:c r="P187" s="13" t="str">
        <x:f>IF(COUNT(H187:I187)=2,SUM(H187:I187),"")</x:f>
      </x:c>
      <x:c r="Q187" s="13" t="str">
        <x:f>IF(AND(ISNUMBER(O187),COUNT(L187:N187)=3),O187+L187-M187-N187,"")</x:f>
      </x:c>
      <x:c r="R187" s="13" t="str">
        <x:f>IF(AND(A187&lt;&gt;"",B187&lt;&gt;"",ISNUMBER(P187),ISNUMBER(Q187)),P187-Q187,"")</x:f>
      </x:c>
      <x:c r="S187" s="13" t="str">
        <x:f>IF(COUNT(H187,J187)=2,J187-H187,"")</x:f>
      </x:c>
      <x:c r="T187" s="13" t="str">
        <x:f>IF(COUNT(I187,K187)=2,K187-I187,"")</x:f>
      </x:c>
      <x:c r="U187" s="10" t="str">
        <x:f>IF(NOT(OR(A187&lt;&gt;"",B187&lt;&gt;"",COUNT(D187:N187)&gt;0)),"",IF(OR(A187="",B187="",COUNT(D187:E187,H187:I187,L187:N187)&lt;&gt;7),"ناقص",IF(OR(MIN(D187:E187,H187:I187,L187:N187)&lt;0,Q187&lt;0),"ورودی نامعتبر",IF(R187&lt;0,"کسری",IF(R187&gt;0,"اضافه","بدون مغایرت")))))</x:f>
      </x:c>
      <x:c r="V187" s="10" t="str">
        <x:f>IF(OR(A187="",B187=""),"",IF(COUNTIFS($A$8:$A$507,A187,$B$8:$B$507,B187)&gt;1,"ثبت تکراری",""))</x:f>
      </x:c>
      <x:c r="W187" s="9"/>
    </x:row>
    <x:row r="188" ht="25" customHeight="1">
      <x:c r="A188" s="11"/>
      <x:c r="B188" s="11"/>
      <x:c r="C188" s="11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3" t="str">
        <x:f>IF(COUNT(D188:E188)=2,SUM(D188:E188),"")</x:f>
      </x:c>
      <x:c r="P188" s="13" t="str">
        <x:f>IF(COUNT(H188:I188)=2,SUM(H188:I188),"")</x:f>
      </x:c>
      <x:c r="Q188" s="13" t="str">
        <x:f>IF(AND(ISNUMBER(O188),COUNT(L188:N188)=3),O188+L188-M188-N188,"")</x:f>
      </x:c>
      <x:c r="R188" s="13" t="str">
        <x:f>IF(AND(A188&lt;&gt;"",B188&lt;&gt;"",ISNUMBER(P188),ISNUMBER(Q188)),P188-Q188,"")</x:f>
      </x:c>
      <x:c r="S188" s="13" t="str">
        <x:f>IF(COUNT(H188,J188)=2,J188-H188,"")</x:f>
      </x:c>
      <x:c r="T188" s="13" t="str">
        <x:f>IF(COUNT(I188,K188)=2,K188-I188,"")</x:f>
      </x:c>
      <x:c r="U188" s="10" t="str">
        <x:f>IF(NOT(OR(A188&lt;&gt;"",B188&lt;&gt;"",COUNT(D188:N188)&gt;0)),"",IF(OR(A188="",B188="",COUNT(D188:E188,H188:I188,L188:N188)&lt;&gt;7),"ناقص",IF(OR(MIN(D188:E188,H188:I188,L188:N188)&lt;0,Q188&lt;0),"ورودی نامعتبر",IF(R188&lt;0,"کسری",IF(R188&gt;0,"اضافه","بدون مغایرت")))))</x:f>
      </x:c>
      <x:c r="V188" s="10" t="str">
        <x:f>IF(OR(A188="",B188=""),"",IF(COUNTIFS($A$8:$A$507,A188,$B$8:$B$507,B188)&gt;1,"ثبت تکراری",""))</x:f>
      </x:c>
      <x:c r="W188" s="9"/>
    </x:row>
    <x:row r="189" ht="25" customHeight="1">
      <x:c r="A189" s="11"/>
      <x:c r="B189" s="11"/>
      <x:c r="C189" s="11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3" t="str">
        <x:f>IF(COUNT(D189:E189)=2,SUM(D189:E189),"")</x:f>
      </x:c>
      <x:c r="P189" s="13" t="str">
        <x:f>IF(COUNT(H189:I189)=2,SUM(H189:I189),"")</x:f>
      </x:c>
      <x:c r="Q189" s="13" t="str">
        <x:f>IF(AND(ISNUMBER(O189),COUNT(L189:N189)=3),O189+L189-M189-N189,"")</x:f>
      </x:c>
      <x:c r="R189" s="13" t="str">
        <x:f>IF(AND(A189&lt;&gt;"",B189&lt;&gt;"",ISNUMBER(P189),ISNUMBER(Q189)),P189-Q189,"")</x:f>
      </x:c>
      <x:c r="S189" s="13" t="str">
        <x:f>IF(COUNT(H189,J189)=2,J189-H189,"")</x:f>
      </x:c>
      <x:c r="T189" s="13" t="str">
        <x:f>IF(COUNT(I189,K189)=2,K189-I189,"")</x:f>
      </x:c>
      <x:c r="U189" s="10" t="str">
        <x:f>IF(NOT(OR(A189&lt;&gt;"",B189&lt;&gt;"",COUNT(D189:N189)&gt;0)),"",IF(OR(A189="",B189="",COUNT(D189:E189,H189:I189,L189:N189)&lt;&gt;7),"ناقص",IF(OR(MIN(D189:E189,H189:I189,L189:N189)&lt;0,Q189&lt;0),"ورودی نامعتبر",IF(R189&lt;0,"کسری",IF(R189&gt;0,"اضافه","بدون مغایرت")))))</x:f>
      </x:c>
      <x:c r="V189" s="10" t="str">
        <x:f>IF(OR(A189="",B189=""),"",IF(COUNTIFS($A$8:$A$507,A189,$B$8:$B$507,B189)&gt;1,"ثبت تکراری",""))</x:f>
      </x:c>
      <x:c r="W189" s="9"/>
    </x:row>
    <x:row r="190" ht="25" customHeight="1">
      <x:c r="A190" s="11"/>
      <x:c r="B190" s="11"/>
      <x:c r="C190" s="11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3" t="str">
        <x:f>IF(COUNT(D190:E190)=2,SUM(D190:E190),"")</x:f>
      </x:c>
      <x:c r="P190" s="13" t="str">
        <x:f>IF(COUNT(H190:I190)=2,SUM(H190:I190),"")</x:f>
      </x:c>
      <x:c r="Q190" s="13" t="str">
        <x:f>IF(AND(ISNUMBER(O190),COUNT(L190:N190)=3),O190+L190-M190-N190,"")</x:f>
      </x:c>
      <x:c r="R190" s="13" t="str">
        <x:f>IF(AND(A190&lt;&gt;"",B190&lt;&gt;"",ISNUMBER(P190),ISNUMBER(Q190)),P190-Q190,"")</x:f>
      </x:c>
      <x:c r="S190" s="13" t="str">
        <x:f>IF(COUNT(H190,J190)=2,J190-H190,"")</x:f>
      </x:c>
      <x:c r="T190" s="13" t="str">
        <x:f>IF(COUNT(I190,K190)=2,K190-I190,"")</x:f>
      </x:c>
      <x:c r="U190" s="10" t="str">
        <x:f>IF(NOT(OR(A190&lt;&gt;"",B190&lt;&gt;"",COUNT(D190:N190)&gt;0)),"",IF(OR(A190="",B190="",COUNT(D190:E190,H190:I190,L190:N190)&lt;&gt;7),"ناقص",IF(OR(MIN(D190:E190,H190:I190,L190:N190)&lt;0,Q190&lt;0),"ورودی نامعتبر",IF(R190&lt;0,"کسری",IF(R190&gt;0,"اضافه","بدون مغایرت")))))</x:f>
      </x:c>
      <x:c r="V190" s="10" t="str">
        <x:f>IF(OR(A190="",B190=""),"",IF(COUNTIFS($A$8:$A$507,A190,$B$8:$B$507,B190)&gt;1,"ثبت تکراری",""))</x:f>
      </x:c>
      <x:c r="W190" s="9"/>
    </x:row>
    <x:row r="191" ht="25" customHeight="1">
      <x:c r="A191" s="11"/>
      <x:c r="B191" s="11"/>
      <x:c r="C191" s="11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3" t="str">
        <x:f>IF(COUNT(D191:E191)=2,SUM(D191:E191),"")</x:f>
      </x:c>
      <x:c r="P191" s="13" t="str">
        <x:f>IF(COUNT(H191:I191)=2,SUM(H191:I191),"")</x:f>
      </x:c>
      <x:c r="Q191" s="13" t="str">
        <x:f>IF(AND(ISNUMBER(O191),COUNT(L191:N191)=3),O191+L191-M191-N191,"")</x:f>
      </x:c>
      <x:c r="R191" s="13" t="str">
        <x:f>IF(AND(A191&lt;&gt;"",B191&lt;&gt;"",ISNUMBER(P191),ISNUMBER(Q191)),P191-Q191,"")</x:f>
      </x:c>
      <x:c r="S191" s="13" t="str">
        <x:f>IF(COUNT(H191,J191)=2,J191-H191,"")</x:f>
      </x:c>
      <x:c r="T191" s="13" t="str">
        <x:f>IF(COUNT(I191,K191)=2,K191-I191,"")</x:f>
      </x:c>
      <x:c r="U191" s="10" t="str">
        <x:f>IF(NOT(OR(A191&lt;&gt;"",B191&lt;&gt;"",COUNT(D191:N191)&gt;0)),"",IF(OR(A191="",B191="",COUNT(D191:E191,H191:I191,L191:N191)&lt;&gt;7),"ناقص",IF(OR(MIN(D191:E191,H191:I191,L191:N191)&lt;0,Q191&lt;0),"ورودی نامعتبر",IF(R191&lt;0,"کسری",IF(R191&gt;0,"اضافه","بدون مغایرت")))))</x:f>
      </x:c>
      <x:c r="V191" s="10" t="str">
        <x:f>IF(OR(A191="",B191=""),"",IF(COUNTIFS($A$8:$A$507,A191,$B$8:$B$507,B191)&gt;1,"ثبت تکراری",""))</x:f>
      </x:c>
      <x:c r="W191" s="9"/>
    </x:row>
    <x:row r="192" ht="25" customHeight="1">
      <x:c r="A192" s="11"/>
      <x:c r="B192" s="11"/>
      <x:c r="C192" s="11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3" t="str">
        <x:f>IF(COUNT(D192:E192)=2,SUM(D192:E192),"")</x:f>
      </x:c>
      <x:c r="P192" s="13" t="str">
        <x:f>IF(COUNT(H192:I192)=2,SUM(H192:I192),"")</x:f>
      </x:c>
      <x:c r="Q192" s="13" t="str">
        <x:f>IF(AND(ISNUMBER(O192),COUNT(L192:N192)=3),O192+L192-M192-N192,"")</x:f>
      </x:c>
      <x:c r="R192" s="13" t="str">
        <x:f>IF(AND(A192&lt;&gt;"",B192&lt;&gt;"",ISNUMBER(P192),ISNUMBER(Q192)),P192-Q192,"")</x:f>
      </x:c>
      <x:c r="S192" s="13" t="str">
        <x:f>IF(COUNT(H192,J192)=2,J192-H192,"")</x:f>
      </x:c>
      <x:c r="T192" s="13" t="str">
        <x:f>IF(COUNT(I192,K192)=2,K192-I192,"")</x:f>
      </x:c>
      <x:c r="U192" s="10" t="str">
        <x:f>IF(NOT(OR(A192&lt;&gt;"",B192&lt;&gt;"",COUNT(D192:N192)&gt;0)),"",IF(OR(A192="",B192="",COUNT(D192:E192,H192:I192,L192:N192)&lt;&gt;7),"ناقص",IF(OR(MIN(D192:E192,H192:I192,L192:N192)&lt;0,Q192&lt;0),"ورودی نامعتبر",IF(R192&lt;0,"کسری",IF(R192&gt;0,"اضافه","بدون مغایرت")))))</x:f>
      </x:c>
      <x:c r="V192" s="10" t="str">
        <x:f>IF(OR(A192="",B192=""),"",IF(COUNTIFS($A$8:$A$507,A192,$B$8:$B$507,B192)&gt;1,"ثبت تکراری",""))</x:f>
      </x:c>
      <x:c r="W192" s="9"/>
    </x:row>
    <x:row r="193" ht="25" customHeight="1">
      <x:c r="A193" s="11"/>
      <x:c r="B193" s="11"/>
      <x:c r="C193" s="11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3" t="str">
        <x:f>IF(COUNT(D193:E193)=2,SUM(D193:E193),"")</x:f>
      </x:c>
      <x:c r="P193" s="13" t="str">
        <x:f>IF(COUNT(H193:I193)=2,SUM(H193:I193),"")</x:f>
      </x:c>
      <x:c r="Q193" s="13" t="str">
        <x:f>IF(AND(ISNUMBER(O193),COUNT(L193:N193)=3),O193+L193-M193-N193,"")</x:f>
      </x:c>
      <x:c r="R193" s="13" t="str">
        <x:f>IF(AND(A193&lt;&gt;"",B193&lt;&gt;"",ISNUMBER(P193),ISNUMBER(Q193)),P193-Q193,"")</x:f>
      </x:c>
      <x:c r="S193" s="13" t="str">
        <x:f>IF(COUNT(H193,J193)=2,J193-H193,"")</x:f>
      </x:c>
      <x:c r="T193" s="13" t="str">
        <x:f>IF(COUNT(I193,K193)=2,K193-I193,"")</x:f>
      </x:c>
      <x:c r="U193" s="10" t="str">
        <x:f>IF(NOT(OR(A193&lt;&gt;"",B193&lt;&gt;"",COUNT(D193:N193)&gt;0)),"",IF(OR(A193="",B193="",COUNT(D193:E193,H193:I193,L193:N193)&lt;&gt;7),"ناقص",IF(OR(MIN(D193:E193,H193:I193,L193:N193)&lt;0,Q193&lt;0),"ورودی نامعتبر",IF(R193&lt;0,"کسری",IF(R193&gt;0,"اضافه","بدون مغایرت")))))</x:f>
      </x:c>
      <x:c r="V193" s="10" t="str">
        <x:f>IF(OR(A193="",B193=""),"",IF(COUNTIFS($A$8:$A$507,A193,$B$8:$B$507,B193)&gt;1,"ثبت تکراری",""))</x:f>
      </x:c>
      <x:c r="W193" s="9"/>
    </x:row>
    <x:row r="194" ht="25" customHeight="1">
      <x:c r="A194" s="11"/>
      <x:c r="B194" s="11"/>
      <x:c r="C194" s="11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3" t="str">
        <x:f>IF(COUNT(D194:E194)=2,SUM(D194:E194),"")</x:f>
      </x:c>
      <x:c r="P194" s="13" t="str">
        <x:f>IF(COUNT(H194:I194)=2,SUM(H194:I194),"")</x:f>
      </x:c>
      <x:c r="Q194" s="13" t="str">
        <x:f>IF(AND(ISNUMBER(O194),COUNT(L194:N194)=3),O194+L194-M194-N194,"")</x:f>
      </x:c>
      <x:c r="R194" s="13" t="str">
        <x:f>IF(AND(A194&lt;&gt;"",B194&lt;&gt;"",ISNUMBER(P194),ISNUMBER(Q194)),P194-Q194,"")</x:f>
      </x:c>
      <x:c r="S194" s="13" t="str">
        <x:f>IF(COUNT(H194,J194)=2,J194-H194,"")</x:f>
      </x:c>
      <x:c r="T194" s="13" t="str">
        <x:f>IF(COUNT(I194,K194)=2,K194-I194,"")</x:f>
      </x:c>
      <x:c r="U194" s="10" t="str">
        <x:f>IF(NOT(OR(A194&lt;&gt;"",B194&lt;&gt;"",COUNT(D194:N194)&gt;0)),"",IF(OR(A194="",B194="",COUNT(D194:E194,H194:I194,L194:N194)&lt;&gt;7),"ناقص",IF(OR(MIN(D194:E194,H194:I194,L194:N194)&lt;0,Q194&lt;0),"ورودی نامعتبر",IF(R194&lt;0,"کسری",IF(R194&gt;0,"اضافه","بدون مغایرت")))))</x:f>
      </x:c>
      <x:c r="V194" s="10" t="str">
        <x:f>IF(OR(A194="",B194=""),"",IF(COUNTIFS($A$8:$A$507,A194,$B$8:$B$507,B194)&gt;1,"ثبت تکراری",""))</x:f>
      </x:c>
      <x:c r="W194" s="9"/>
    </x:row>
    <x:row r="195" ht="25" customHeight="1">
      <x:c r="A195" s="11"/>
      <x:c r="B195" s="11"/>
      <x:c r="C195" s="11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3" t="str">
        <x:f>IF(COUNT(D195:E195)=2,SUM(D195:E195),"")</x:f>
      </x:c>
      <x:c r="P195" s="13" t="str">
        <x:f>IF(COUNT(H195:I195)=2,SUM(H195:I195),"")</x:f>
      </x:c>
      <x:c r="Q195" s="13" t="str">
        <x:f>IF(AND(ISNUMBER(O195),COUNT(L195:N195)=3),O195+L195-M195-N195,"")</x:f>
      </x:c>
      <x:c r="R195" s="13" t="str">
        <x:f>IF(AND(A195&lt;&gt;"",B195&lt;&gt;"",ISNUMBER(P195),ISNUMBER(Q195)),P195-Q195,"")</x:f>
      </x:c>
      <x:c r="S195" s="13" t="str">
        <x:f>IF(COUNT(H195,J195)=2,J195-H195,"")</x:f>
      </x:c>
      <x:c r="T195" s="13" t="str">
        <x:f>IF(COUNT(I195,K195)=2,K195-I195,"")</x:f>
      </x:c>
      <x:c r="U195" s="10" t="str">
        <x:f>IF(NOT(OR(A195&lt;&gt;"",B195&lt;&gt;"",COUNT(D195:N195)&gt;0)),"",IF(OR(A195="",B195="",COUNT(D195:E195,H195:I195,L195:N195)&lt;&gt;7),"ناقص",IF(OR(MIN(D195:E195,H195:I195,L195:N195)&lt;0,Q195&lt;0),"ورودی نامعتبر",IF(R195&lt;0,"کسری",IF(R195&gt;0,"اضافه","بدون مغایرت")))))</x:f>
      </x:c>
      <x:c r="V195" s="10" t="str">
        <x:f>IF(OR(A195="",B195=""),"",IF(COUNTIFS($A$8:$A$507,A195,$B$8:$B$507,B195)&gt;1,"ثبت تکراری",""))</x:f>
      </x:c>
      <x:c r="W195" s="9"/>
    </x:row>
    <x:row r="196" ht="25" customHeight="1">
      <x:c r="A196" s="11"/>
      <x:c r="B196" s="11"/>
      <x:c r="C196" s="11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3" t="str">
        <x:f>IF(COUNT(D196:E196)=2,SUM(D196:E196),"")</x:f>
      </x:c>
      <x:c r="P196" s="13" t="str">
        <x:f>IF(COUNT(H196:I196)=2,SUM(H196:I196),"")</x:f>
      </x:c>
      <x:c r="Q196" s="13" t="str">
        <x:f>IF(AND(ISNUMBER(O196),COUNT(L196:N196)=3),O196+L196-M196-N196,"")</x:f>
      </x:c>
      <x:c r="R196" s="13" t="str">
        <x:f>IF(AND(A196&lt;&gt;"",B196&lt;&gt;"",ISNUMBER(P196),ISNUMBER(Q196)),P196-Q196,"")</x:f>
      </x:c>
      <x:c r="S196" s="13" t="str">
        <x:f>IF(COUNT(H196,J196)=2,J196-H196,"")</x:f>
      </x:c>
      <x:c r="T196" s="13" t="str">
        <x:f>IF(COUNT(I196,K196)=2,K196-I196,"")</x:f>
      </x:c>
      <x:c r="U196" s="10" t="str">
        <x:f>IF(NOT(OR(A196&lt;&gt;"",B196&lt;&gt;"",COUNT(D196:N196)&gt;0)),"",IF(OR(A196="",B196="",COUNT(D196:E196,H196:I196,L196:N196)&lt;&gt;7),"ناقص",IF(OR(MIN(D196:E196,H196:I196,L196:N196)&lt;0,Q196&lt;0),"ورودی نامعتبر",IF(R196&lt;0,"کسری",IF(R196&gt;0,"اضافه","بدون مغایرت")))))</x:f>
      </x:c>
      <x:c r="V196" s="10" t="str">
        <x:f>IF(OR(A196="",B196=""),"",IF(COUNTIFS($A$8:$A$507,A196,$B$8:$B$507,B196)&gt;1,"ثبت تکراری",""))</x:f>
      </x:c>
      <x:c r="W196" s="9"/>
    </x:row>
    <x:row r="197" ht="25" customHeight="1">
      <x:c r="A197" s="11"/>
      <x:c r="B197" s="11"/>
      <x:c r="C197" s="11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3" t="str">
        <x:f>IF(COUNT(D197:E197)=2,SUM(D197:E197),"")</x:f>
      </x:c>
      <x:c r="P197" s="13" t="str">
        <x:f>IF(COUNT(H197:I197)=2,SUM(H197:I197),"")</x:f>
      </x:c>
      <x:c r="Q197" s="13" t="str">
        <x:f>IF(AND(ISNUMBER(O197),COUNT(L197:N197)=3),O197+L197-M197-N197,"")</x:f>
      </x:c>
      <x:c r="R197" s="13" t="str">
        <x:f>IF(AND(A197&lt;&gt;"",B197&lt;&gt;"",ISNUMBER(P197),ISNUMBER(Q197)),P197-Q197,"")</x:f>
      </x:c>
      <x:c r="S197" s="13" t="str">
        <x:f>IF(COUNT(H197,J197)=2,J197-H197,"")</x:f>
      </x:c>
      <x:c r="T197" s="13" t="str">
        <x:f>IF(COUNT(I197,K197)=2,K197-I197,"")</x:f>
      </x:c>
      <x:c r="U197" s="10" t="str">
        <x:f>IF(NOT(OR(A197&lt;&gt;"",B197&lt;&gt;"",COUNT(D197:N197)&gt;0)),"",IF(OR(A197="",B197="",COUNT(D197:E197,H197:I197,L197:N197)&lt;&gt;7),"ناقص",IF(OR(MIN(D197:E197,H197:I197,L197:N197)&lt;0,Q197&lt;0),"ورودی نامعتبر",IF(R197&lt;0,"کسری",IF(R197&gt;0,"اضافه","بدون مغایرت")))))</x:f>
      </x:c>
      <x:c r="V197" s="10" t="str">
        <x:f>IF(OR(A197="",B197=""),"",IF(COUNTIFS($A$8:$A$507,A197,$B$8:$B$507,B197)&gt;1,"ثبت تکراری",""))</x:f>
      </x:c>
      <x:c r="W197" s="9"/>
    </x:row>
    <x:row r="198" ht="25" customHeight="1">
      <x:c r="A198" s="11"/>
      <x:c r="B198" s="11"/>
      <x:c r="C198" s="11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3" t="str">
        <x:f>IF(COUNT(D198:E198)=2,SUM(D198:E198),"")</x:f>
      </x:c>
      <x:c r="P198" s="13" t="str">
        <x:f>IF(COUNT(H198:I198)=2,SUM(H198:I198),"")</x:f>
      </x:c>
      <x:c r="Q198" s="13" t="str">
        <x:f>IF(AND(ISNUMBER(O198),COUNT(L198:N198)=3),O198+L198-M198-N198,"")</x:f>
      </x:c>
      <x:c r="R198" s="13" t="str">
        <x:f>IF(AND(A198&lt;&gt;"",B198&lt;&gt;"",ISNUMBER(P198),ISNUMBER(Q198)),P198-Q198,"")</x:f>
      </x:c>
      <x:c r="S198" s="13" t="str">
        <x:f>IF(COUNT(H198,J198)=2,J198-H198,"")</x:f>
      </x:c>
      <x:c r="T198" s="13" t="str">
        <x:f>IF(COUNT(I198,K198)=2,K198-I198,"")</x:f>
      </x:c>
      <x:c r="U198" s="10" t="str">
        <x:f>IF(NOT(OR(A198&lt;&gt;"",B198&lt;&gt;"",COUNT(D198:N198)&gt;0)),"",IF(OR(A198="",B198="",COUNT(D198:E198,H198:I198,L198:N198)&lt;&gt;7),"ناقص",IF(OR(MIN(D198:E198,H198:I198,L198:N198)&lt;0,Q198&lt;0),"ورودی نامعتبر",IF(R198&lt;0,"کسری",IF(R198&gt;0,"اضافه","بدون مغایرت")))))</x:f>
      </x:c>
      <x:c r="V198" s="10" t="str">
        <x:f>IF(OR(A198="",B198=""),"",IF(COUNTIFS($A$8:$A$507,A198,$B$8:$B$507,B198)&gt;1,"ثبت تکراری",""))</x:f>
      </x:c>
      <x:c r="W198" s="9"/>
    </x:row>
    <x:row r="199" ht="25" customHeight="1">
      <x:c r="A199" s="11"/>
      <x:c r="B199" s="11"/>
      <x:c r="C199" s="11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3" t="str">
        <x:f>IF(COUNT(D199:E199)=2,SUM(D199:E199),"")</x:f>
      </x:c>
      <x:c r="P199" s="13" t="str">
        <x:f>IF(COUNT(H199:I199)=2,SUM(H199:I199),"")</x:f>
      </x:c>
      <x:c r="Q199" s="13" t="str">
        <x:f>IF(AND(ISNUMBER(O199),COUNT(L199:N199)=3),O199+L199-M199-N199,"")</x:f>
      </x:c>
      <x:c r="R199" s="13" t="str">
        <x:f>IF(AND(A199&lt;&gt;"",B199&lt;&gt;"",ISNUMBER(P199),ISNUMBER(Q199)),P199-Q199,"")</x:f>
      </x:c>
      <x:c r="S199" s="13" t="str">
        <x:f>IF(COUNT(H199,J199)=2,J199-H199,"")</x:f>
      </x:c>
      <x:c r="T199" s="13" t="str">
        <x:f>IF(COUNT(I199,K199)=2,K199-I199,"")</x:f>
      </x:c>
      <x:c r="U199" s="10" t="str">
        <x:f>IF(NOT(OR(A199&lt;&gt;"",B199&lt;&gt;"",COUNT(D199:N199)&gt;0)),"",IF(OR(A199="",B199="",COUNT(D199:E199,H199:I199,L199:N199)&lt;&gt;7),"ناقص",IF(OR(MIN(D199:E199,H199:I199,L199:N199)&lt;0,Q199&lt;0),"ورودی نامعتبر",IF(R199&lt;0,"کسری",IF(R199&gt;0,"اضافه","بدون مغایرت")))))</x:f>
      </x:c>
      <x:c r="V199" s="10" t="str">
        <x:f>IF(OR(A199="",B199=""),"",IF(COUNTIFS($A$8:$A$507,A199,$B$8:$B$507,B199)&gt;1,"ثبت تکراری",""))</x:f>
      </x:c>
      <x:c r="W199" s="9"/>
    </x:row>
    <x:row r="200" ht="25" customHeight="1">
      <x:c r="A200" s="11"/>
      <x:c r="B200" s="11"/>
      <x:c r="C200" s="11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3" t="str">
        <x:f>IF(COUNT(D200:E200)=2,SUM(D200:E200),"")</x:f>
      </x:c>
      <x:c r="P200" s="13" t="str">
        <x:f>IF(COUNT(H200:I200)=2,SUM(H200:I200),"")</x:f>
      </x:c>
      <x:c r="Q200" s="13" t="str">
        <x:f>IF(AND(ISNUMBER(O200),COUNT(L200:N200)=3),O200+L200-M200-N200,"")</x:f>
      </x:c>
      <x:c r="R200" s="13" t="str">
        <x:f>IF(AND(A200&lt;&gt;"",B200&lt;&gt;"",ISNUMBER(P200),ISNUMBER(Q200)),P200-Q200,"")</x:f>
      </x:c>
      <x:c r="S200" s="13" t="str">
        <x:f>IF(COUNT(H200,J200)=2,J200-H200,"")</x:f>
      </x:c>
      <x:c r="T200" s="13" t="str">
        <x:f>IF(COUNT(I200,K200)=2,K200-I200,"")</x:f>
      </x:c>
      <x:c r="U200" s="10" t="str">
        <x:f>IF(NOT(OR(A200&lt;&gt;"",B200&lt;&gt;"",COUNT(D200:N200)&gt;0)),"",IF(OR(A200="",B200="",COUNT(D200:E200,H200:I200,L200:N200)&lt;&gt;7),"ناقص",IF(OR(MIN(D200:E200,H200:I200,L200:N200)&lt;0,Q200&lt;0),"ورودی نامعتبر",IF(R200&lt;0,"کسری",IF(R200&gt;0,"اضافه","بدون مغایرت")))))</x:f>
      </x:c>
      <x:c r="V200" s="10" t="str">
        <x:f>IF(OR(A200="",B200=""),"",IF(COUNTIFS($A$8:$A$507,A200,$B$8:$B$507,B200)&gt;1,"ثبت تکراری",""))</x:f>
      </x:c>
      <x:c r="W200" s="9"/>
    </x:row>
    <x:row r="201" ht="25" customHeight="1">
      <x:c r="A201" s="11"/>
      <x:c r="B201" s="11"/>
      <x:c r="C201" s="11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3" t="str">
        <x:f>IF(COUNT(D201:E201)=2,SUM(D201:E201),"")</x:f>
      </x:c>
      <x:c r="P201" s="13" t="str">
        <x:f>IF(COUNT(H201:I201)=2,SUM(H201:I201),"")</x:f>
      </x:c>
      <x:c r="Q201" s="13" t="str">
        <x:f>IF(AND(ISNUMBER(O201),COUNT(L201:N201)=3),O201+L201-M201-N201,"")</x:f>
      </x:c>
      <x:c r="R201" s="13" t="str">
        <x:f>IF(AND(A201&lt;&gt;"",B201&lt;&gt;"",ISNUMBER(P201),ISNUMBER(Q201)),P201-Q201,"")</x:f>
      </x:c>
      <x:c r="S201" s="13" t="str">
        <x:f>IF(COUNT(H201,J201)=2,J201-H201,"")</x:f>
      </x:c>
      <x:c r="T201" s="13" t="str">
        <x:f>IF(COUNT(I201,K201)=2,K201-I201,"")</x:f>
      </x:c>
      <x:c r="U201" s="10" t="str">
        <x:f>IF(NOT(OR(A201&lt;&gt;"",B201&lt;&gt;"",COUNT(D201:N201)&gt;0)),"",IF(OR(A201="",B201="",COUNT(D201:E201,H201:I201,L201:N201)&lt;&gt;7),"ناقص",IF(OR(MIN(D201:E201,H201:I201,L201:N201)&lt;0,Q201&lt;0),"ورودی نامعتبر",IF(R201&lt;0,"کسری",IF(R201&gt;0,"اضافه","بدون مغایرت")))))</x:f>
      </x:c>
      <x:c r="V201" s="10" t="str">
        <x:f>IF(OR(A201="",B201=""),"",IF(COUNTIFS($A$8:$A$507,A201,$B$8:$B$507,B201)&gt;1,"ثبت تکراری",""))</x:f>
      </x:c>
      <x:c r="W201" s="9"/>
    </x:row>
    <x:row r="202" ht="25" customHeight="1">
      <x:c r="A202" s="11"/>
      <x:c r="B202" s="11"/>
      <x:c r="C202" s="11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3" t="str">
        <x:f>IF(COUNT(D202:E202)=2,SUM(D202:E202),"")</x:f>
      </x:c>
      <x:c r="P202" s="13" t="str">
        <x:f>IF(COUNT(H202:I202)=2,SUM(H202:I202),"")</x:f>
      </x:c>
      <x:c r="Q202" s="13" t="str">
        <x:f>IF(AND(ISNUMBER(O202),COUNT(L202:N202)=3),O202+L202-M202-N202,"")</x:f>
      </x:c>
      <x:c r="R202" s="13" t="str">
        <x:f>IF(AND(A202&lt;&gt;"",B202&lt;&gt;"",ISNUMBER(P202),ISNUMBER(Q202)),P202-Q202,"")</x:f>
      </x:c>
      <x:c r="S202" s="13" t="str">
        <x:f>IF(COUNT(H202,J202)=2,J202-H202,"")</x:f>
      </x:c>
      <x:c r="T202" s="13" t="str">
        <x:f>IF(COUNT(I202,K202)=2,K202-I202,"")</x:f>
      </x:c>
      <x:c r="U202" s="10" t="str">
        <x:f>IF(NOT(OR(A202&lt;&gt;"",B202&lt;&gt;"",COUNT(D202:N202)&gt;0)),"",IF(OR(A202="",B202="",COUNT(D202:E202,H202:I202,L202:N202)&lt;&gt;7),"ناقص",IF(OR(MIN(D202:E202,H202:I202,L202:N202)&lt;0,Q202&lt;0),"ورودی نامعتبر",IF(R202&lt;0,"کسری",IF(R202&gt;0,"اضافه","بدون مغایرت")))))</x:f>
      </x:c>
      <x:c r="V202" s="10" t="str">
        <x:f>IF(OR(A202="",B202=""),"",IF(COUNTIFS($A$8:$A$507,A202,$B$8:$B$507,B202)&gt;1,"ثبت تکراری",""))</x:f>
      </x:c>
      <x:c r="W202" s="9"/>
    </x:row>
    <x:row r="203" ht="25" customHeight="1">
      <x:c r="A203" s="11"/>
      <x:c r="B203" s="11"/>
      <x:c r="C203" s="11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3" t="str">
        <x:f>IF(COUNT(D203:E203)=2,SUM(D203:E203),"")</x:f>
      </x:c>
      <x:c r="P203" s="13" t="str">
        <x:f>IF(COUNT(H203:I203)=2,SUM(H203:I203),"")</x:f>
      </x:c>
      <x:c r="Q203" s="13" t="str">
        <x:f>IF(AND(ISNUMBER(O203),COUNT(L203:N203)=3),O203+L203-M203-N203,"")</x:f>
      </x:c>
      <x:c r="R203" s="13" t="str">
        <x:f>IF(AND(A203&lt;&gt;"",B203&lt;&gt;"",ISNUMBER(P203),ISNUMBER(Q203)),P203-Q203,"")</x:f>
      </x:c>
      <x:c r="S203" s="13" t="str">
        <x:f>IF(COUNT(H203,J203)=2,J203-H203,"")</x:f>
      </x:c>
      <x:c r="T203" s="13" t="str">
        <x:f>IF(COUNT(I203,K203)=2,K203-I203,"")</x:f>
      </x:c>
      <x:c r="U203" s="10" t="str">
        <x:f>IF(NOT(OR(A203&lt;&gt;"",B203&lt;&gt;"",COUNT(D203:N203)&gt;0)),"",IF(OR(A203="",B203="",COUNT(D203:E203,H203:I203,L203:N203)&lt;&gt;7),"ناقص",IF(OR(MIN(D203:E203,H203:I203,L203:N203)&lt;0,Q203&lt;0),"ورودی نامعتبر",IF(R203&lt;0,"کسری",IF(R203&gt;0,"اضافه","بدون مغایرت")))))</x:f>
      </x:c>
      <x:c r="V203" s="10" t="str">
        <x:f>IF(OR(A203="",B203=""),"",IF(COUNTIFS($A$8:$A$507,A203,$B$8:$B$507,B203)&gt;1,"ثبت تکراری",""))</x:f>
      </x:c>
      <x:c r="W203" s="9"/>
    </x:row>
    <x:row r="204" ht="25" customHeight="1">
      <x:c r="A204" s="11"/>
      <x:c r="B204" s="11"/>
      <x:c r="C204" s="11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3" t="str">
        <x:f>IF(COUNT(D204:E204)=2,SUM(D204:E204),"")</x:f>
      </x:c>
      <x:c r="P204" s="13" t="str">
        <x:f>IF(COUNT(H204:I204)=2,SUM(H204:I204),"")</x:f>
      </x:c>
      <x:c r="Q204" s="13" t="str">
        <x:f>IF(AND(ISNUMBER(O204),COUNT(L204:N204)=3),O204+L204-M204-N204,"")</x:f>
      </x:c>
      <x:c r="R204" s="13" t="str">
        <x:f>IF(AND(A204&lt;&gt;"",B204&lt;&gt;"",ISNUMBER(P204),ISNUMBER(Q204)),P204-Q204,"")</x:f>
      </x:c>
      <x:c r="S204" s="13" t="str">
        <x:f>IF(COUNT(H204,J204)=2,J204-H204,"")</x:f>
      </x:c>
      <x:c r="T204" s="13" t="str">
        <x:f>IF(COUNT(I204,K204)=2,K204-I204,"")</x:f>
      </x:c>
      <x:c r="U204" s="10" t="str">
        <x:f>IF(NOT(OR(A204&lt;&gt;"",B204&lt;&gt;"",COUNT(D204:N204)&gt;0)),"",IF(OR(A204="",B204="",COUNT(D204:E204,H204:I204,L204:N204)&lt;&gt;7),"ناقص",IF(OR(MIN(D204:E204,H204:I204,L204:N204)&lt;0,Q204&lt;0),"ورودی نامعتبر",IF(R204&lt;0,"کسری",IF(R204&gt;0,"اضافه","بدون مغایرت")))))</x:f>
      </x:c>
      <x:c r="V204" s="10" t="str">
        <x:f>IF(OR(A204="",B204=""),"",IF(COUNTIFS($A$8:$A$507,A204,$B$8:$B$507,B204)&gt;1,"ثبت تکراری",""))</x:f>
      </x:c>
      <x:c r="W204" s="9"/>
    </x:row>
    <x:row r="205" ht="25" customHeight="1">
      <x:c r="A205" s="11"/>
      <x:c r="B205" s="11"/>
      <x:c r="C205" s="11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3" t="str">
        <x:f>IF(COUNT(D205:E205)=2,SUM(D205:E205),"")</x:f>
      </x:c>
      <x:c r="P205" s="13" t="str">
        <x:f>IF(COUNT(H205:I205)=2,SUM(H205:I205),"")</x:f>
      </x:c>
      <x:c r="Q205" s="13" t="str">
        <x:f>IF(AND(ISNUMBER(O205),COUNT(L205:N205)=3),O205+L205-M205-N205,"")</x:f>
      </x:c>
      <x:c r="R205" s="13" t="str">
        <x:f>IF(AND(A205&lt;&gt;"",B205&lt;&gt;"",ISNUMBER(P205),ISNUMBER(Q205)),P205-Q205,"")</x:f>
      </x:c>
      <x:c r="S205" s="13" t="str">
        <x:f>IF(COUNT(H205,J205)=2,J205-H205,"")</x:f>
      </x:c>
      <x:c r="T205" s="13" t="str">
        <x:f>IF(COUNT(I205,K205)=2,K205-I205,"")</x:f>
      </x:c>
      <x:c r="U205" s="10" t="str">
        <x:f>IF(NOT(OR(A205&lt;&gt;"",B205&lt;&gt;"",COUNT(D205:N205)&gt;0)),"",IF(OR(A205="",B205="",COUNT(D205:E205,H205:I205,L205:N205)&lt;&gt;7),"ناقص",IF(OR(MIN(D205:E205,H205:I205,L205:N205)&lt;0,Q205&lt;0),"ورودی نامعتبر",IF(R205&lt;0,"کسری",IF(R205&gt;0,"اضافه","بدون مغایرت")))))</x:f>
      </x:c>
      <x:c r="V205" s="10" t="str">
        <x:f>IF(OR(A205="",B205=""),"",IF(COUNTIFS($A$8:$A$507,A205,$B$8:$B$507,B205)&gt;1,"ثبت تکراری",""))</x:f>
      </x:c>
      <x:c r="W205" s="9"/>
    </x:row>
    <x:row r="206" ht="25" customHeight="1">
      <x:c r="A206" s="11"/>
      <x:c r="B206" s="11"/>
      <x:c r="C206" s="11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3" t="str">
        <x:f>IF(COUNT(D206:E206)=2,SUM(D206:E206),"")</x:f>
      </x:c>
      <x:c r="P206" s="13" t="str">
        <x:f>IF(COUNT(H206:I206)=2,SUM(H206:I206),"")</x:f>
      </x:c>
      <x:c r="Q206" s="13" t="str">
        <x:f>IF(AND(ISNUMBER(O206),COUNT(L206:N206)=3),O206+L206-M206-N206,"")</x:f>
      </x:c>
      <x:c r="R206" s="13" t="str">
        <x:f>IF(AND(A206&lt;&gt;"",B206&lt;&gt;"",ISNUMBER(P206),ISNUMBER(Q206)),P206-Q206,"")</x:f>
      </x:c>
      <x:c r="S206" s="13" t="str">
        <x:f>IF(COUNT(H206,J206)=2,J206-H206,"")</x:f>
      </x:c>
      <x:c r="T206" s="13" t="str">
        <x:f>IF(COUNT(I206,K206)=2,K206-I206,"")</x:f>
      </x:c>
      <x:c r="U206" s="10" t="str">
        <x:f>IF(NOT(OR(A206&lt;&gt;"",B206&lt;&gt;"",COUNT(D206:N206)&gt;0)),"",IF(OR(A206="",B206="",COUNT(D206:E206,H206:I206,L206:N206)&lt;&gt;7),"ناقص",IF(OR(MIN(D206:E206,H206:I206,L206:N206)&lt;0,Q206&lt;0),"ورودی نامعتبر",IF(R206&lt;0,"کسری",IF(R206&gt;0,"اضافه","بدون مغایرت")))))</x:f>
      </x:c>
      <x:c r="V206" s="10" t="str">
        <x:f>IF(OR(A206="",B206=""),"",IF(COUNTIFS($A$8:$A$507,A206,$B$8:$B$507,B206)&gt;1,"ثبت تکراری",""))</x:f>
      </x:c>
      <x:c r="W206" s="9"/>
    </x:row>
    <x:row r="207" ht="25" customHeight="1">
      <x:c r="A207" s="11"/>
      <x:c r="B207" s="11"/>
      <x:c r="C207" s="11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3" t="str">
        <x:f>IF(COUNT(D207:E207)=2,SUM(D207:E207),"")</x:f>
      </x:c>
      <x:c r="P207" s="13" t="str">
        <x:f>IF(COUNT(H207:I207)=2,SUM(H207:I207),"")</x:f>
      </x:c>
      <x:c r="Q207" s="13" t="str">
        <x:f>IF(AND(ISNUMBER(O207),COUNT(L207:N207)=3),O207+L207-M207-N207,"")</x:f>
      </x:c>
      <x:c r="R207" s="13" t="str">
        <x:f>IF(AND(A207&lt;&gt;"",B207&lt;&gt;"",ISNUMBER(P207),ISNUMBER(Q207)),P207-Q207,"")</x:f>
      </x:c>
      <x:c r="S207" s="13" t="str">
        <x:f>IF(COUNT(H207,J207)=2,J207-H207,"")</x:f>
      </x:c>
      <x:c r="T207" s="13" t="str">
        <x:f>IF(COUNT(I207,K207)=2,K207-I207,"")</x:f>
      </x:c>
      <x:c r="U207" s="10" t="str">
        <x:f>IF(NOT(OR(A207&lt;&gt;"",B207&lt;&gt;"",COUNT(D207:N207)&gt;0)),"",IF(OR(A207="",B207="",COUNT(D207:E207,H207:I207,L207:N207)&lt;&gt;7),"ناقص",IF(OR(MIN(D207:E207,H207:I207,L207:N207)&lt;0,Q207&lt;0),"ورودی نامعتبر",IF(R207&lt;0,"کسری",IF(R207&gt;0,"اضافه","بدون مغایرت")))))</x:f>
      </x:c>
      <x:c r="V207" s="10" t="str">
        <x:f>IF(OR(A207="",B207=""),"",IF(COUNTIFS($A$8:$A$507,A207,$B$8:$B$507,B207)&gt;1,"ثبت تکراری",""))</x:f>
      </x:c>
      <x:c r="W207" s="9"/>
    </x:row>
    <x:row r="208" ht="25" customHeight="1">
      <x:c r="A208" s="11"/>
      <x:c r="B208" s="11"/>
      <x:c r="C208" s="11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3" t="str">
        <x:f>IF(COUNT(D208:E208)=2,SUM(D208:E208),"")</x:f>
      </x:c>
      <x:c r="P208" s="13" t="str">
        <x:f>IF(COUNT(H208:I208)=2,SUM(H208:I208),"")</x:f>
      </x:c>
      <x:c r="Q208" s="13" t="str">
        <x:f>IF(AND(ISNUMBER(O208),COUNT(L208:N208)=3),O208+L208-M208-N208,"")</x:f>
      </x:c>
      <x:c r="R208" s="13" t="str">
        <x:f>IF(AND(A208&lt;&gt;"",B208&lt;&gt;"",ISNUMBER(P208),ISNUMBER(Q208)),P208-Q208,"")</x:f>
      </x:c>
      <x:c r="S208" s="13" t="str">
        <x:f>IF(COUNT(H208,J208)=2,J208-H208,"")</x:f>
      </x:c>
      <x:c r="T208" s="13" t="str">
        <x:f>IF(COUNT(I208,K208)=2,K208-I208,"")</x:f>
      </x:c>
      <x:c r="U208" s="10" t="str">
        <x:f>IF(NOT(OR(A208&lt;&gt;"",B208&lt;&gt;"",COUNT(D208:N208)&gt;0)),"",IF(OR(A208="",B208="",COUNT(D208:E208,H208:I208,L208:N208)&lt;&gt;7),"ناقص",IF(OR(MIN(D208:E208,H208:I208,L208:N208)&lt;0,Q208&lt;0),"ورودی نامعتبر",IF(R208&lt;0,"کسری",IF(R208&gt;0,"اضافه","بدون مغایرت")))))</x:f>
      </x:c>
      <x:c r="V208" s="10" t="str">
        <x:f>IF(OR(A208="",B208=""),"",IF(COUNTIFS($A$8:$A$507,A208,$B$8:$B$507,B208)&gt;1,"ثبت تکراری",""))</x:f>
      </x:c>
      <x:c r="W208" s="9"/>
    </x:row>
    <x:row r="209" ht="25" customHeight="1">
      <x:c r="A209" s="11"/>
      <x:c r="B209" s="11"/>
      <x:c r="C209" s="11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3" t="str">
        <x:f>IF(COUNT(D209:E209)=2,SUM(D209:E209),"")</x:f>
      </x:c>
      <x:c r="P209" s="13" t="str">
        <x:f>IF(COUNT(H209:I209)=2,SUM(H209:I209),"")</x:f>
      </x:c>
      <x:c r="Q209" s="13" t="str">
        <x:f>IF(AND(ISNUMBER(O209),COUNT(L209:N209)=3),O209+L209-M209-N209,"")</x:f>
      </x:c>
      <x:c r="R209" s="13" t="str">
        <x:f>IF(AND(A209&lt;&gt;"",B209&lt;&gt;"",ISNUMBER(P209),ISNUMBER(Q209)),P209-Q209,"")</x:f>
      </x:c>
      <x:c r="S209" s="13" t="str">
        <x:f>IF(COUNT(H209,J209)=2,J209-H209,"")</x:f>
      </x:c>
      <x:c r="T209" s="13" t="str">
        <x:f>IF(COUNT(I209,K209)=2,K209-I209,"")</x:f>
      </x:c>
      <x:c r="U209" s="10" t="str">
        <x:f>IF(NOT(OR(A209&lt;&gt;"",B209&lt;&gt;"",COUNT(D209:N209)&gt;0)),"",IF(OR(A209="",B209="",COUNT(D209:E209,H209:I209,L209:N209)&lt;&gt;7),"ناقص",IF(OR(MIN(D209:E209,H209:I209,L209:N209)&lt;0,Q209&lt;0),"ورودی نامعتبر",IF(R209&lt;0,"کسری",IF(R209&gt;0,"اضافه","بدون مغایرت")))))</x:f>
      </x:c>
      <x:c r="V209" s="10" t="str">
        <x:f>IF(OR(A209="",B209=""),"",IF(COUNTIFS($A$8:$A$507,A209,$B$8:$B$507,B209)&gt;1,"ثبت تکراری",""))</x:f>
      </x:c>
      <x:c r="W209" s="9"/>
    </x:row>
    <x:row r="210" ht="25" customHeight="1">
      <x:c r="A210" s="11"/>
      <x:c r="B210" s="11"/>
      <x:c r="C210" s="11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3" t="str">
        <x:f>IF(COUNT(D210:E210)=2,SUM(D210:E210),"")</x:f>
      </x:c>
      <x:c r="P210" s="13" t="str">
        <x:f>IF(COUNT(H210:I210)=2,SUM(H210:I210),"")</x:f>
      </x:c>
      <x:c r="Q210" s="13" t="str">
        <x:f>IF(AND(ISNUMBER(O210),COUNT(L210:N210)=3),O210+L210-M210-N210,"")</x:f>
      </x:c>
      <x:c r="R210" s="13" t="str">
        <x:f>IF(AND(A210&lt;&gt;"",B210&lt;&gt;"",ISNUMBER(P210),ISNUMBER(Q210)),P210-Q210,"")</x:f>
      </x:c>
      <x:c r="S210" s="13" t="str">
        <x:f>IF(COUNT(H210,J210)=2,J210-H210,"")</x:f>
      </x:c>
      <x:c r="T210" s="13" t="str">
        <x:f>IF(COUNT(I210,K210)=2,K210-I210,"")</x:f>
      </x:c>
      <x:c r="U210" s="10" t="str">
        <x:f>IF(NOT(OR(A210&lt;&gt;"",B210&lt;&gt;"",COUNT(D210:N210)&gt;0)),"",IF(OR(A210="",B210="",COUNT(D210:E210,H210:I210,L210:N210)&lt;&gt;7),"ناقص",IF(OR(MIN(D210:E210,H210:I210,L210:N210)&lt;0,Q210&lt;0),"ورودی نامعتبر",IF(R210&lt;0,"کسری",IF(R210&gt;0,"اضافه","بدون مغایرت")))))</x:f>
      </x:c>
      <x:c r="V210" s="10" t="str">
        <x:f>IF(OR(A210="",B210=""),"",IF(COUNTIFS($A$8:$A$507,A210,$B$8:$B$507,B210)&gt;1,"ثبت تکراری",""))</x:f>
      </x:c>
      <x:c r="W210" s="9"/>
    </x:row>
    <x:row r="211" ht="25" customHeight="1">
      <x:c r="A211" s="11"/>
      <x:c r="B211" s="11"/>
      <x:c r="C211" s="11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3" t="str">
        <x:f>IF(COUNT(D211:E211)=2,SUM(D211:E211),"")</x:f>
      </x:c>
      <x:c r="P211" s="13" t="str">
        <x:f>IF(COUNT(H211:I211)=2,SUM(H211:I211),"")</x:f>
      </x:c>
      <x:c r="Q211" s="13" t="str">
        <x:f>IF(AND(ISNUMBER(O211),COUNT(L211:N211)=3),O211+L211-M211-N211,"")</x:f>
      </x:c>
      <x:c r="R211" s="13" t="str">
        <x:f>IF(AND(A211&lt;&gt;"",B211&lt;&gt;"",ISNUMBER(P211),ISNUMBER(Q211)),P211-Q211,"")</x:f>
      </x:c>
      <x:c r="S211" s="13" t="str">
        <x:f>IF(COUNT(H211,J211)=2,J211-H211,"")</x:f>
      </x:c>
      <x:c r="T211" s="13" t="str">
        <x:f>IF(COUNT(I211,K211)=2,K211-I211,"")</x:f>
      </x:c>
      <x:c r="U211" s="10" t="str">
        <x:f>IF(NOT(OR(A211&lt;&gt;"",B211&lt;&gt;"",COUNT(D211:N211)&gt;0)),"",IF(OR(A211="",B211="",COUNT(D211:E211,H211:I211,L211:N211)&lt;&gt;7),"ناقص",IF(OR(MIN(D211:E211,H211:I211,L211:N211)&lt;0,Q211&lt;0),"ورودی نامعتبر",IF(R211&lt;0,"کسری",IF(R211&gt;0,"اضافه","بدون مغایرت")))))</x:f>
      </x:c>
      <x:c r="V211" s="10" t="str">
        <x:f>IF(OR(A211="",B211=""),"",IF(COUNTIFS($A$8:$A$507,A211,$B$8:$B$507,B211)&gt;1,"ثبت تکراری",""))</x:f>
      </x:c>
      <x:c r="W211" s="9"/>
    </x:row>
    <x:row r="212" ht="25" customHeight="1">
      <x:c r="A212" s="11"/>
      <x:c r="B212" s="11"/>
      <x:c r="C212" s="11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3" t="str">
        <x:f>IF(COUNT(D212:E212)=2,SUM(D212:E212),"")</x:f>
      </x:c>
      <x:c r="P212" s="13" t="str">
        <x:f>IF(COUNT(H212:I212)=2,SUM(H212:I212),"")</x:f>
      </x:c>
      <x:c r="Q212" s="13" t="str">
        <x:f>IF(AND(ISNUMBER(O212),COUNT(L212:N212)=3),O212+L212-M212-N212,"")</x:f>
      </x:c>
      <x:c r="R212" s="13" t="str">
        <x:f>IF(AND(A212&lt;&gt;"",B212&lt;&gt;"",ISNUMBER(P212),ISNUMBER(Q212)),P212-Q212,"")</x:f>
      </x:c>
      <x:c r="S212" s="13" t="str">
        <x:f>IF(COUNT(H212,J212)=2,J212-H212,"")</x:f>
      </x:c>
      <x:c r="T212" s="13" t="str">
        <x:f>IF(COUNT(I212,K212)=2,K212-I212,"")</x:f>
      </x:c>
      <x:c r="U212" s="10" t="str">
        <x:f>IF(NOT(OR(A212&lt;&gt;"",B212&lt;&gt;"",COUNT(D212:N212)&gt;0)),"",IF(OR(A212="",B212="",COUNT(D212:E212,H212:I212,L212:N212)&lt;&gt;7),"ناقص",IF(OR(MIN(D212:E212,H212:I212,L212:N212)&lt;0,Q212&lt;0),"ورودی نامعتبر",IF(R212&lt;0,"کسری",IF(R212&gt;0,"اضافه","بدون مغایرت")))))</x:f>
      </x:c>
      <x:c r="V212" s="10" t="str">
        <x:f>IF(OR(A212="",B212=""),"",IF(COUNTIFS($A$8:$A$507,A212,$B$8:$B$507,B212)&gt;1,"ثبت تکراری",""))</x:f>
      </x:c>
      <x:c r="W212" s="9"/>
    </x:row>
    <x:row r="213" ht="25" customHeight="1">
      <x:c r="A213" s="11"/>
      <x:c r="B213" s="11"/>
      <x:c r="C213" s="11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3" t="str">
        <x:f>IF(COUNT(D213:E213)=2,SUM(D213:E213),"")</x:f>
      </x:c>
      <x:c r="P213" s="13" t="str">
        <x:f>IF(COUNT(H213:I213)=2,SUM(H213:I213),"")</x:f>
      </x:c>
      <x:c r="Q213" s="13" t="str">
        <x:f>IF(AND(ISNUMBER(O213),COUNT(L213:N213)=3),O213+L213-M213-N213,"")</x:f>
      </x:c>
      <x:c r="R213" s="13" t="str">
        <x:f>IF(AND(A213&lt;&gt;"",B213&lt;&gt;"",ISNUMBER(P213),ISNUMBER(Q213)),P213-Q213,"")</x:f>
      </x:c>
      <x:c r="S213" s="13" t="str">
        <x:f>IF(COUNT(H213,J213)=2,J213-H213,"")</x:f>
      </x:c>
      <x:c r="T213" s="13" t="str">
        <x:f>IF(COUNT(I213,K213)=2,K213-I213,"")</x:f>
      </x:c>
      <x:c r="U213" s="10" t="str">
        <x:f>IF(NOT(OR(A213&lt;&gt;"",B213&lt;&gt;"",COUNT(D213:N213)&gt;0)),"",IF(OR(A213="",B213="",COUNT(D213:E213,H213:I213,L213:N213)&lt;&gt;7),"ناقص",IF(OR(MIN(D213:E213,H213:I213,L213:N213)&lt;0,Q213&lt;0),"ورودی نامعتبر",IF(R213&lt;0,"کسری",IF(R213&gt;0,"اضافه","بدون مغایرت")))))</x:f>
      </x:c>
      <x:c r="V213" s="10" t="str">
        <x:f>IF(OR(A213="",B213=""),"",IF(COUNTIFS($A$8:$A$507,A213,$B$8:$B$507,B213)&gt;1,"ثبت تکراری",""))</x:f>
      </x:c>
      <x:c r="W213" s="9"/>
    </x:row>
    <x:row r="214" ht="25" customHeight="1">
      <x:c r="A214" s="11"/>
      <x:c r="B214" s="11"/>
      <x:c r="C214" s="11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3" t="str">
        <x:f>IF(COUNT(D214:E214)=2,SUM(D214:E214),"")</x:f>
      </x:c>
      <x:c r="P214" s="13" t="str">
        <x:f>IF(COUNT(H214:I214)=2,SUM(H214:I214),"")</x:f>
      </x:c>
      <x:c r="Q214" s="13" t="str">
        <x:f>IF(AND(ISNUMBER(O214),COUNT(L214:N214)=3),O214+L214-M214-N214,"")</x:f>
      </x:c>
      <x:c r="R214" s="13" t="str">
        <x:f>IF(AND(A214&lt;&gt;"",B214&lt;&gt;"",ISNUMBER(P214),ISNUMBER(Q214)),P214-Q214,"")</x:f>
      </x:c>
      <x:c r="S214" s="13" t="str">
        <x:f>IF(COUNT(H214,J214)=2,J214-H214,"")</x:f>
      </x:c>
      <x:c r="T214" s="13" t="str">
        <x:f>IF(COUNT(I214,K214)=2,K214-I214,"")</x:f>
      </x:c>
      <x:c r="U214" s="10" t="str">
        <x:f>IF(NOT(OR(A214&lt;&gt;"",B214&lt;&gt;"",COUNT(D214:N214)&gt;0)),"",IF(OR(A214="",B214="",COUNT(D214:E214,H214:I214,L214:N214)&lt;&gt;7),"ناقص",IF(OR(MIN(D214:E214,H214:I214,L214:N214)&lt;0,Q214&lt;0),"ورودی نامعتبر",IF(R214&lt;0,"کسری",IF(R214&gt;0,"اضافه","بدون مغایرت")))))</x:f>
      </x:c>
      <x:c r="V214" s="10" t="str">
        <x:f>IF(OR(A214="",B214=""),"",IF(COUNTIFS($A$8:$A$507,A214,$B$8:$B$507,B214)&gt;1,"ثبت تکراری",""))</x:f>
      </x:c>
      <x:c r="W214" s="9"/>
    </x:row>
    <x:row r="215" ht="25" customHeight="1">
      <x:c r="A215" s="11"/>
      <x:c r="B215" s="11"/>
      <x:c r="C215" s="11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3" t="str">
        <x:f>IF(COUNT(D215:E215)=2,SUM(D215:E215),"")</x:f>
      </x:c>
      <x:c r="P215" s="13" t="str">
        <x:f>IF(COUNT(H215:I215)=2,SUM(H215:I215),"")</x:f>
      </x:c>
      <x:c r="Q215" s="13" t="str">
        <x:f>IF(AND(ISNUMBER(O215),COUNT(L215:N215)=3),O215+L215-M215-N215,"")</x:f>
      </x:c>
      <x:c r="R215" s="13" t="str">
        <x:f>IF(AND(A215&lt;&gt;"",B215&lt;&gt;"",ISNUMBER(P215),ISNUMBER(Q215)),P215-Q215,"")</x:f>
      </x:c>
      <x:c r="S215" s="13" t="str">
        <x:f>IF(COUNT(H215,J215)=2,J215-H215,"")</x:f>
      </x:c>
      <x:c r="T215" s="13" t="str">
        <x:f>IF(COUNT(I215,K215)=2,K215-I215,"")</x:f>
      </x:c>
      <x:c r="U215" s="10" t="str">
        <x:f>IF(NOT(OR(A215&lt;&gt;"",B215&lt;&gt;"",COUNT(D215:N215)&gt;0)),"",IF(OR(A215="",B215="",COUNT(D215:E215,H215:I215,L215:N215)&lt;&gt;7),"ناقص",IF(OR(MIN(D215:E215,H215:I215,L215:N215)&lt;0,Q215&lt;0),"ورودی نامعتبر",IF(R215&lt;0,"کسری",IF(R215&gt;0,"اضافه","بدون مغایرت")))))</x:f>
      </x:c>
      <x:c r="V215" s="10" t="str">
        <x:f>IF(OR(A215="",B215=""),"",IF(COUNTIFS($A$8:$A$507,A215,$B$8:$B$507,B215)&gt;1,"ثبت تکراری",""))</x:f>
      </x:c>
      <x:c r="W215" s="9"/>
    </x:row>
    <x:row r="216" ht="25" customHeight="1">
      <x:c r="A216" s="11"/>
      <x:c r="B216" s="11"/>
      <x:c r="C216" s="11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3" t="str">
        <x:f>IF(COUNT(D216:E216)=2,SUM(D216:E216),"")</x:f>
      </x:c>
      <x:c r="P216" s="13" t="str">
        <x:f>IF(COUNT(H216:I216)=2,SUM(H216:I216),"")</x:f>
      </x:c>
      <x:c r="Q216" s="13" t="str">
        <x:f>IF(AND(ISNUMBER(O216),COUNT(L216:N216)=3),O216+L216-M216-N216,"")</x:f>
      </x:c>
      <x:c r="R216" s="13" t="str">
        <x:f>IF(AND(A216&lt;&gt;"",B216&lt;&gt;"",ISNUMBER(P216),ISNUMBER(Q216)),P216-Q216,"")</x:f>
      </x:c>
      <x:c r="S216" s="13" t="str">
        <x:f>IF(COUNT(H216,J216)=2,J216-H216,"")</x:f>
      </x:c>
      <x:c r="T216" s="13" t="str">
        <x:f>IF(COUNT(I216,K216)=2,K216-I216,"")</x:f>
      </x:c>
      <x:c r="U216" s="10" t="str">
        <x:f>IF(NOT(OR(A216&lt;&gt;"",B216&lt;&gt;"",COUNT(D216:N216)&gt;0)),"",IF(OR(A216="",B216="",COUNT(D216:E216,H216:I216,L216:N216)&lt;&gt;7),"ناقص",IF(OR(MIN(D216:E216,H216:I216,L216:N216)&lt;0,Q216&lt;0),"ورودی نامعتبر",IF(R216&lt;0,"کسری",IF(R216&gt;0,"اضافه","بدون مغایرت")))))</x:f>
      </x:c>
      <x:c r="V216" s="10" t="str">
        <x:f>IF(OR(A216="",B216=""),"",IF(COUNTIFS($A$8:$A$507,A216,$B$8:$B$507,B216)&gt;1,"ثبت تکراری",""))</x:f>
      </x:c>
      <x:c r="W216" s="9"/>
    </x:row>
    <x:row r="217" ht="25" customHeight="1">
      <x:c r="A217" s="11"/>
      <x:c r="B217" s="11"/>
      <x:c r="C217" s="11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3" t="str">
        <x:f>IF(COUNT(D217:E217)=2,SUM(D217:E217),"")</x:f>
      </x:c>
      <x:c r="P217" s="13" t="str">
        <x:f>IF(COUNT(H217:I217)=2,SUM(H217:I217),"")</x:f>
      </x:c>
      <x:c r="Q217" s="13" t="str">
        <x:f>IF(AND(ISNUMBER(O217),COUNT(L217:N217)=3),O217+L217-M217-N217,"")</x:f>
      </x:c>
      <x:c r="R217" s="13" t="str">
        <x:f>IF(AND(A217&lt;&gt;"",B217&lt;&gt;"",ISNUMBER(P217),ISNUMBER(Q217)),P217-Q217,"")</x:f>
      </x:c>
      <x:c r="S217" s="13" t="str">
        <x:f>IF(COUNT(H217,J217)=2,J217-H217,"")</x:f>
      </x:c>
      <x:c r="T217" s="13" t="str">
        <x:f>IF(COUNT(I217,K217)=2,K217-I217,"")</x:f>
      </x:c>
      <x:c r="U217" s="10" t="str">
        <x:f>IF(NOT(OR(A217&lt;&gt;"",B217&lt;&gt;"",COUNT(D217:N217)&gt;0)),"",IF(OR(A217="",B217="",COUNT(D217:E217,H217:I217,L217:N217)&lt;&gt;7),"ناقص",IF(OR(MIN(D217:E217,H217:I217,L217:N217)&lt;0,Q217&lt;0),"ورودی نامعتبر",IF(R217&lt;0,"کسری",IF(R217&gt;0,"اضافه","بدون مغایرت")))))</x:f>
      </x:c>
      <x:c r="V217" s="10" t="str">
        <x:f>IF(OR(A217="",B217=""),"",IF(COUNTIFS($A$8:$A$507,A217,$B$8:$B$507,B217)&gt;1,"ثبت تکراری",""))</x:f>
      </x:c>
      <x:c r="W217" s="9"/>
    </x:row>
    <x:row r="218" ht="25" customHeight="1">
      <x:c r="A218" s="11"/>
      <x:c r="B218" s="11"/>
      <x:c r="C218" s="11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3" t="str">
        <x:f>IF(COUNT(D218:E218)=2,SUM(D218:E218),"")</x:f>
      </x:c>
      <x:c r="P218" s="13" t="str">
        <x:f>IF(COUNT(H218:I218)=2,SUM(H218:I218),"")</x:f>
      </x:c>
      <x:c r="Q218" s="13" t="str">
        <x:f>IF(AND(ISNUMBER(O218),COUNT(L218:N218)=3),O218+L218-M218-N218,"")</x:f>
      </x:c>
      <x:c r="R218" s="13" t="str">
        <x:f>IF(AND(A218&lt;&gt;"",B218&lt;&gt;"",ISNUMBER(P218),ISNUMBER(Q218)),P218-Q218,"")</x:f>
      </x:c>
      <x:c r="S218" s="13" t="str">
        <x:f>IF(COUNT(H218,J218)=2,J218-H218,"")</x:f>
      </x:c>
      <x:c r="T218" s="13" t="str">
        <x:f>IF(COUNT(I218,K218)=2,K218-I218,"")</x:f>
      </x:c>
      <x:c r="U218" s="10" t="str">
        <x:f>IF(NOT(OR(A218&lt;&gt;"",B218&lt;&gt;"",COUNT(D218:N218)&gt;0)),"",IF(OR(A218="",B218="",COUNT(D218:E218,H218:I218,L218:N218)&lt;&gt;7),"ناقص",IF(OR(MIN(D218:E218,H218:I218,L218:N218)&lt;0,Q218&lt;0),"ورودی نامعتبر",IF(R218&lt;0,"کسری",IF(R218&gt;0,"اضافه","بدون مغایرت")))))</x:f>
      </x:c>
      <x:c r="V218" s="10" t="str">
        <x:f>IF(OR(A218="",B218=""),"",IF(COUNTIFS($A$8:$A$507,A218,$B$8:$B$507,B218)&gt;1,"ثبت تکراری",""))</x:f>
      </x:c>
      <x:c r="W218" s="9"/>
    </x:row>
    <x:row r="219" ht="25" customHeight="1">
      <x:c r="A219" s="11"/>
      <x:c r="B219" s="11"/>
      <x:c r="C219" s="11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3" t="str">
        <x:f>IF(COUNT(D219:E219)=2,SUM(D219:E219),"")</x:f>
      </x:c>
      <x:c r="P219" s="13" t="str">
        <x:f>IF(COUNT(H219:I219)=2,SUM(H219:I219),"")</x:f>
      </x:c>
      <x:c r="Q219" s="13" t="str">
        <x:f>IF(AND(ISNUMBER(O219),COUNT(L219:N219)=3),O219+L219-M219-N219,"")</x:f>
      </x:c>
      <x:c r="R219" s="13" t="str">
        <x:f>IF(AND(A219&lt;&gt;"",B219&lt;&gt;"",ISNUMBER(P219),ISNUMBER(Q219)),P219-Q219,"")</x:f>
      </x:c>
      <x:c r="S219" s="13" t="str">
        <x:f>IF(COUNT(H219,J219)=2,J219-H219,"")</x:f>
      </x:c>
      <x:c r="T219" s="13" t="str">
        <x:f>IF(COUNT(I219,K219)=2,K219-I219,"")</x:f>
      </x:c>
      <x:c r="U219" s="10" t="str">
        <x:f>IF(NOT(OR(A219&lt;&gt;"",B219&lt;&gt;"",COUNT(D219:N219)&gt;0)),"",IF(OR(A219="",B219="",COUNT(D219:E219,H219:I219,L219:N219)&lt;&gt;7),"ناقص",IF(OR(MIN(D219:E219,H219:I219,L219:N219)&lt;0,Q219&lt;0),"ورودی نامعتبر",IF(R219&lt;0,"کسری",IF(R219&gt;0,"اضافه","بدون مغایرت")))))</x:f>
      </x:c>
      <x:c r="V219" s="10" t="str">
        <x:f>IF(OR(A219="",B219=""),"",IF(COUNTIFS($A$8:$A$507,A219,$B$8:$B$507,B219)&gt;1,"ثبت تکراری",""))</x:f>
      </x:c>
      <x:c r="W219" s="9"/>
    </x:row>
    <x:row r="220" ht="25" customHeight="1">
      <x:c r="A220" s="11"/>
      <x:c r="B220" s="11"/>
      <x:c r="C220" s="11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3" t="str">
        <x:f>IF(COUNT(D220:E220)=2,SUM(D220:E220),"")</x:f>
      </x:c>
      <x:c r="P220" s="13" t="str">
        <x:f>IF(COUNT(H220:I220)=2,SUM(H220:I220),"")</x:f>
      </x:c>
      <x:c r="Q220" s="13" t="str">
        <x:f>IF(AND(ISNUMBER(O220),COUNT(L220:N220)=3),O220+L220-M220-N220,"")</x:f>
      </x:c>
      <x:c r="R220" s="13" t="str">
        <x:f>IF(AND(A220&lt;&gt;"",B220&lt;&gt;"",ISNUMBER(P220),ISNUMBER(Q220)),P220-Q220,"")</x:f>
      </x:c>
      <x:c r="S220" s="13" t="str">
        <x:f>IF(COUNT(H220,J220)=2,J220-H220,"")</x:f>
      </x:c>
      <x:c r="T220" s="13" t="str">
        <x:f>IF(COUNT(I220,K220)=2,K220-I220,"")</x:f>
      </x:c>
      <x:c r="U220" s="10" t="str">
        <x:f>IF(NOT(OR(A220&lt;&gt;"",B220&lt;&gt;"",COUNT(D220:N220)&gt;0)),"",IF(OR(A220="",B220="",COUNT(D220:E220,H220:I220,L220:N220)&lt;&gt;7),"ناقص",IF(OR(MIN(D220:E220,H220:I220,L220:N220)&lt;0,Q220&lt;0),"ورودی نامعتبر",IF(R220&lt;0,"کسری",IF(R220&gt;0,"اضافه","بدون مغایرت")))))</x:f>
      </x:c>
      <x:c r="V220" s="10" t="str">
        <x:f>IF(OR(A220="",B220=""),"",IF(COUNTIFS($A$8:$A$507,A220,$B$8:$B$507,B220)&gt;1,"ثبت تکراری",""))</x:f>
      </x:c>
      <x:c r="W220" s="9"/>
    </x:row>
    <x:row r="221" ht="25" customHeight="1">
      <x:c r="A221" s="11"/>
      <x:c r="B221" s="11"/>
      <x:c r="C221" s="11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3" t="str">
        <x:f>IF(COUNT(D221:E221)=2,SUM(D221:E221),"")</x:f>
      </x:c>
      <x:c r="P221" s="13" t="str">
        <x:f>IF(COUNT(H221:I221)=2,SUM(H221:I221),"")</x:f>
      </x:c>
      <x:c r="Q221" s="13" t="str">
        <x:f>IF(AND(ISNUMBER(O221),COUNT(L221:N221)=3),O221+L221-M221-N221,"")</x:f>
      </x:c>
      <x:c r="R221" s="13" t="str">
        <x:f>IF(AND(A221&lt;&gt;"",B221&lt;&gt;"",ISNUMBER(P221),ISNUMBER(Q221)),P221-Q221,"")</x:f>
      </x:c>
      <x:c r="S221" s="13" t="str">
        <x:f>IF(COUNT(H221,J221)=2,J221-H221,"")</x:f>
      </x:c>
      <x:c r="T221" s="13" t="str">
        <x:f>IF(COUNT(I221,K221)=2,K221-I221,"")</x:f>
      </x:c>
      <x:c r="U221" s="10" t="str">
        <x:f>IF(NOT(OR(A221&lt;&gt;"",B221&lt;&gt;"",COUNT(D221:N221)&gt;0)),"",IF(OR(A221="",B221="",COUNT(D221:E221,H221:I221,L221:N221)&lt;&gt;7),"ناقص",IF(OR(MIN(D221:E221,H221:I221,L221:N221)&lt;0,Q221&lt;0),"ورودی نامعتبر",IF(R221&lt;0,"کسری",IF(R221&gt;0,"اضافه","بدون مغایرت")))))</x:f>
      </x:c>
      <x:c r="V221" s="10" t="str">
        <x:f>IF(OR(A221="",B221=""),"",IF(COUNTIFS($A$8:$A$507,A221,$B$8:$B$507,B221)&gt;1,"ثبت تکراری",""))</x:f>
      </x:c>
      <x:c r="W221" s="9"/>
    </x:row>
    <x:row r="222" ht="25" customHeight="1">
      <x:c r="A222" s="11"/>
      <x:c r="B222" s="11"/>
      <x:c r="C222" s="11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3" t="str">
        <x:f>IF(COUNT(D222:E222)=2,SUM(D222:E222),"")</x:f>
      </x:c>
      <x:c r="P222" s="13" t="str">
        <x:f>IF(COUNT(H222:I222)=2,SUM(H222:I222),"")</x:f>
      </x:c>
      <x:c r="Q222" s="13" t="str">
        <x:f>IF(AND(ISNUMBER(O222),COUNT(L222:N222)=3),O222+L222-M222-N222,"")</x:f>
      </x:c>
      <x:c r="R222" s="13" t="str">
        <x:f>IF(AND(A222&lt;&gt;"",B222&lt;&gt;"",ISNUMBER(P222),ISNUMBER(Q222)),P222-Q222,"")</x:f>
      </x:c>
      <x:c r="S222" s="13" t="str">
        <x:f>IF(COUNT(H222,J222)=2,J222-H222,"")</x:f>
      </x:c>
      <x:c r="T222" s="13" t="str">
        <x:f>IF(COUNT(I222,K222)=2,K222-I222,"")</x:f>
      </x:c>
      <x:c r="U222" s="10" t="str">
        <x:f>IF(NOT(OR(A222&lt;&gt;"",B222&lt;&gt;"",COUNT(D222:N222)&gt;0)),"",IF(OR(A222="",B222="",COUNT(D222:E222,H222:I222,L222:N222)&lt;&gt;7),"ناقص",IF(OR(MIN(D222:E222,H222:I222,L222:N222)&lt;0,Q222&lt;0),"ورودی نامعتبر",IF(R222&lt;0,"کسری",IF(R222&gt;0,"اضافه","بدون مغایرت")))))</x:f>
      </x:c>
      <x:c r="V222" s="10" t="str">
        <x:f>IF(OR(A222="",B222=""),"",IF(COUNTIFS($A$8:$A$507,A222,$B$8:$B$507,B222)&gt;1,"ثبت تکراری",""))</x:f>
      </x:c>
      <x:c r="W222" s="9"/>
    </x:row>
    <x:row r="223" ht="25" customHeight="1">
      <x:c r="A223" s="11"/>
      <x:c r="B223" s="11"/>
      <x:c r="C223" s="11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3" t="str">
        <x:f>IF(COUNT(D223:E223)=2,SUM(D223:E223),"")</x:f>
      </x:c>
      <x:c r="P223" s="13" t="str">
        <x:f>IF(COUNT(H223:I223)=2,SUM(H223:I223),"")</x:f>
      </x:c>
      <x:c r="Q223" s="13" t="str">
        <x:f>IF(AND(ISNUMBER(O223),COUNT(L223:N223)=3),O223+L223-M223-N223,"")</x:f>
      </x:c>
      <x:c r="R223" s="13" t="str">
        <x:f>IF(AND(A223&lt;&gt;"",B223&lt;&gt;"",ISNUMBER(P223),ISNUMBER(Q223)),P223-Q223,"")</x:f>
      </x:c>
      <x:c r="S223" s="13" t="str">
        <x:f>IF(COUNT(H223,J223)=2,J223-H223,"")</x:f>
      </x:c>
      <x:c r="T223" s="13" t="str">
        <x:f>IF(COUNT(I223,K223)=2,K223-I223,"")</x:f>
      </x:c>
      <x:c r="U223" s="10" t="str">
        <x:f>IF(NOT(OR(A223&lt;&gt;"",B223&lt;&gt;"",COUNT(D223:N223)&gt;0)),"",IF(OR(A223="",B223="",COUNT(D223:E223,H223:I223,L223:N223)&lt;&gt;7),"ناقص",IF(OR(MIN(D223:E223,H223:I223,L223:N223)&lt;0,Q223&lt;0),"ورودی نامعتبر",IF(R223&lt;0,"کسری",IF(R223&gt;0,"اضافه","بدون مغایرت")))))</x:f>
      </x:c>
      <x:c r="V223" s="10" t="str">
        <x:f>IF(OR(A223="",B223=""),"",IF(COUNTIFS($A$8:$A$507,A223,$B$8:$B$507,B223)&gt;1,"ثبت تکراری",""))</x:f>
      </x:c>
      <x:c r="W223" s="9"/>
    </x:row>
    <x:row r="224" ht="25" customHeight="1">
      <x:c r="A224" s="11"/>
      <x:c r="B224" s="11"/>
      <x:c r="C224" s="11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3" t="str">
        <x:f>IF(COUNT(D224:E224)=2,SUM(D224:E224),"")</x:f>
      </x:c>
      <x:c r="P224" s="13" t="str">
        <x:f>IF(COUNT(H224:I224)=2,SUM(H224:I224),"")</x:f>
      </x:c>
      <x:c r="Q224" s="13" t="str">
        <x:f>IF(AND(ISNUMBER(O224),COUNT(L224:N224)=3),O224+L224-M224-N224,"")</x:f>
      </x:c>
      <x:c r="R224" s="13" t="str">
        <x:f>IF(AND(A224&lt;&gt;"",B224&lt;&gt;"",ISNUMBER(P224),ISNUMBER(Q224)),P224-Q224,"")</x:f>
      </x:c>
      <x:c r="S224" s="13" t="str">
        <x:f>IF(COUNT(H224,J224)=2,J224-H224,"")</x:f>
      </x:c>
      <x:c r="T224" s="13" t="str">
        <x:f>IF(COUNT(I224,K224)=2,K224-I224,"")</x:f>
      </x:c>
      <x:c r="U224" s="10" t="str">
        <x:f>IF(NOT(OR(A224&lt;&gt;"",B224&lt;&gt;"",COUNT(D224:N224)&gt;0)),"",IF(OR(A224="",B224="",COUNT(D224:E224,H224:I224,L224:N224)&lt;&gt;7),"ناقص",IF(OR(MIN(D224:E224,H224:I224,L224:N224)&lt;0,Q224&lt;0),"ورودی نامعتبر",IF(R224&lt;0,"کسری",IF(R224&gt;0,"اضافه","بدون مغایرت")))))</x:f>
      </x:c>
      <x:c r="V224" s="10" t="str">
        <x:f>IF(OR(A224="",B224=""),"",IF(COUNTIFS($A$8:$A$507,A224,$B$8:$B$507,B224)&gt;1,"ثبت تکراری",""))</x:f>
      </x:c>
      <x:c r="W224" s="9"/>
    </x:row>
    <x:row r="225" ht="25" customHeight="1">
      <x:c r="A225" s="11"/>
      <x:c r="B225" s="11"/>
      <x:c r="C225" s="11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3" t="str">
        <x:f>IF(COUNT(D225:E225)=2,SUM(D225:E225),"")</x:f>
      </x:c>
      <x:c r="P225" s="13" t="str">
        <x:f>IF(COUNT(H225:I225)=2,SUM(H225:I225),"")</x:f>
      </x:c>
      <x:c r="Q225" s="13" t="str">
        <x:f>IF(AND(ISNUMBER(O225),COUNT(L225:N225)=3),O225+L225-M225-N225,"")</x:f>
      </x:c>
      <x:c r="R225" s="13" t="str">
        <x:f>IF(AND(A225&lt;&gt;"",B225&lt;&gt;"",ISNUMBER(P225),ISNUMBER(Q225)),P225-Q225,"")</x:f>
      </x:c>
      <x:c r="S225" s="13" t="str">
        <x:f>IF(COUNT(H225,J225)=2,J225-H225,"")</x:f>
      </x:c>
      <x:c r="T225" s="13" t="str">
        <x:f>IF(COUNT(I225,K225)=2,K225-I225,"")</x:f>
      </x:c>
      <x:c r="U225" s="10" t="str">
        <x:f>IF(NOT(OR(A225&lt;&gt;"",B225&lt;&gt;"",COUNT(D225:N225)&gt;0)),"",IF(OR(A225="",B225="",COUNT(D225:E225,H225:I225,L225:N225)&lt;&gt;7),"ناقص",IF(OR(MIN(D225:E225,H225:I225,L225:N225)&lt;0,Q225&lt;0),"ورودی نامعتبر",IF(R225&lt;0,"کسری",IF(R225&gt;0,"اضافه","بدون مغایرت")))))</x:f>
      </x:c>
      <x:c r="V225" s="10" t="str">
        <x:f>IF(OR(A225="",B225=""),"",IF(COUNTIFS($A$8:$A$507,A225,$B$8:$B$507,B225)&gt;1,"ثبت تکراری",""))</x:f>
      </x:c>
      <x:c r="W225" s="9"/>
    </x:row>
    <x:row r="226" ht="25" customHeight="1">
      <x:c r="A226" s="11"/>
      <x:c r="B226" s="11"/>
      <x:c r="C226" s="11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3" t="str">
        <x:f>IF(COUNT(D226:E226)=2,SUM(D226:E226),"")</x:f>
      </x:c>
      <x:c r="P226" s="13" t="str">
        <x:f>IF(COUNT(H226:I226)=2,SUM(H226:I226),"")</x:f>
      </x:c>
      <x:c r="Q226" s="13" t="str">
        <x:f>IF(AND(ISNUMBER(O226),COUNT(L226:N226)=3),O226+L226-M226-N226,"")</x:f>
      </x:c>
      <x:c r="R226" s="13" t="str">
        <x:f>IF(AND(A226&lt;&gt;"",B226&lt;&gt;"",ISNUMBER(P226),ISNUMBER(Q226)),P226-Q226,"")</x:f>
      </x:c>
      <x:c r="S226" s="13" t="str">
        <x:f>IF(COUNT(H226,J226)=2,J226-H226,"")</x:f>
      </x:c>
      <x:c r="T226" s="13" t="str">
        <x:f>IF(COUNT(I226,K226)=2,K226-I226,"")</x:f>
      </x:c>
      <x:c r="U226" s="10" t="str">
        <x:f>IF(NOT(OR(A226&lt;&gt;"",B226&lt;&gt;"",COUNT(D226:N226)&gt;0)),"",IF(OR(A226="",B226="",COUNT(D226:E226,H226:I226,L226:N226)&lt;&gt;7),"ناقص",IF(OR(MIN(D226:E226,H226:I226,L226:N226)&lt;0,Q226&lt;0),"ورودی نامعتبر",IF(R226&lt;0,"کسری",IF(R226&gt;0,"اضافه","بدون مغایرت")))))</x:f>
      </x:c>
      <x:c r="V226" s="10" t="str">
        <x:f>IF(OR(A226="",B226=""),"",IF(COUNTIFS($A$8:$A$507,A226,$B$8:$B$507,B226)&gt;1,"ثبت تکراری",""))</x:f>
      </x:c>
      <x:c r="W226" s="9"/>
    </x:row>
    <x:row r="227" ht="25" customHeight="1">
      <x:c r="A227" s="11"/>
      <x:c r="B227" s="11"/>
      <x:c r="C227" s="11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3" t="str">
        <x:f>IF(COUNT(D227:E227)=2,SUM(D227:E227),"")</x:f>
      </x:c>
      <x:c r="P227" s="13" t="str">
        <x:f>IF(COUNT(H227:I227)=2,SUM(H227:I227),"")</x:f>
      </x:c>
      <x:c r="Q227" s="13" t="str">
        <x:f>IF(AND(ISNUMBER(O227),COUNT(L227:N227)=3),O227+L227-M227-N227,"")</x:f>
      </x:c>
      <x:c r="R227" s="13" t="str">
        <x:f>IF(AND(A227&lt;&gt;"",B227&lt;&gt;"",ISNUMBER(P227),ISNUMBER(Q227)),P227-Q227,"")</x:f>
      </x:c>
      <x:c r="S227" s="13" t="str">
        <x:f>IF(COUNT(H227,J227)=2,J227-H227,"")</x:f>
      </x:c>
      <x:c r="T227" s="13" t="str">
        <x:f>IF(COUNT(I227,K227)=2,K227-I227,"")</x:f>
      </x:c>
      <x:c r="U227" s="10" t="str">
        <x:f>IF(NOT(OR(A227&lt;&gt;"",B227&lt;&gt;"",COUNT(D227:N227)&gt;0)),"",IF(OR(A227="",B227="",COUNT(D227:E227,H227:I227,L227:N227)&lt;&gt;7),"ناقص",IF(OR(MIN(D227:E227,H227:I227,L227:N227)&lt;0,Q227&lt;0),"ورودی نامعتبر",IF(R227&lt;0,"کسری",IF(R227&gt;0,"اضافه","بدون مغایرت")))))</x:f>
      </x:c>
      <x:c r="V227" s="10" t="str">
        <x:f>IF(OR(A227="",B227=""),"",IF(COUNTIFS($A$8:$A$507,A227,$B$8:$B$507,B227)&gt;1,"ثبت تکراری",""))</x:f>
      </x:c>
      <x:c r="W227" s="9"/>
    </x:row>
    <x:row r="228" ht="25" customHeight="1">
      <x:c r="A228" s="11"/>
      <x:c r="B228" s="11"/>
      <x:c r="C228" s="11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3" t="str">
        <x:f>IF(COUNT(D228:E228)=2,SUM(D228:E228),"")</x:f>
      </x:c>
      <x:c r="P228" s="13" t="str">
        <x:f>IF(COUNT(H228:I228)=2,SUM(H228:I228),"")</x:f>
      </x:c>
      <x:c r="Q228" s="13" t="str">
        <x:f>IF(AND(ISNUMBER(O228),COUNT(L228:N228)=3),O228+L228-M228-N228,"")</x:f>
      </x:c>
      <x:c r="R228" s="13" t="str">
        <x:f>IF(AND(A228&lt;&gt;"",B228&lt;&gt;"",ISNUMBER(P228),ISNUMBER(Q228)),P228-Q228,"")</x:f>
      </x:c>
      <x:c r="S228" s="13" t="str">
        <x:f>IF(COUNT(H228,J228)=2,J228-H228,"")</x:f>
      </x:c>
      <x:c r="T228" s="13" t="str">
        <x:f>IF(COUNT(I228,K228)=2,K228-I228,"")</x:f>
      </x:c>
      <x:c r="U228" s="10" t="str">
        <x:f>IF(NOT(OR(A228&lt;&gt;"",B228&lt;&gt;"",COUNT(D228:N228)&gt;0)),"",IF(OR(A228="",B228="",COUNT(D228:E228,H228:I228,L228:N228)&lt;&gt;7),"ناقص",IF(OR(MIN(D228:E228,H228:I228,L228:N228)&lt;0,Q228&lt;0),"ورودی نامعتبر",IF(R228&lt;0,"کسری",IF(R228&gt;0,"اضافه","بدون مغایرت")))))</x:f>
      </x:c>
      <x:c r="V228" s="10" t="str">
        <x:f>IF(OR(A228="",B228=""),"",IF(COUNTIFS($A$8:$A$507,A228,$B$8:$B$507,B228)&gt;1,"ثبت تکراری",""))</x:f>
      </x:c>
      <x:c r="W228" s="9"/>
    </x:row>
    <x:row r="229" ht="25" customHeight="1">
      <x:c r="A229" s="11"/>
      <x:c r="B229" s="11"/>
      <x:c r="C229" s="11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3" t="str">
        <x:f>IF(COUNT(D229:E229)=2,SUM(D229:E229),"")</x:f>
      </x:c>
      <x:c r="P229" s="13" t="str">
        <x:f>IF(COUNT(H229:I229)=2,SUM(H229:I229),"")</x:f>
      </x:c>
      <x:c r="Q229" s="13" t="str">
        <x:f>IF(AND(ISNUMBER(O229),COUNT(L229:N229)=3),O229+L229-M229-N229,"")</x:f>
      </x:c>
      <x:c r="R229" s="13" t="str">
        <x:f>IF(AND(A229&lt;&gt;"",B229&lt;&gt;"",ISNUMBER(P229),ISNUMBER(Q229)),P229-Q229,"")</x:f>
      </x:c>
      <x:c r="S229" s="13" t="str">
        <x:f>IF(COUNT(H229,J229)=2,J229-H229,"")</x:f>
      </x:c>
      <x:c r="T229" s="13" t="str">
        <x:f>IF(COUNT(I229,K229)=2,K229-I229,"")</x:f>
      </x:c>
      <x:c r="U229" s="10" t="str">
        <x:f>IF(NOT(OR(A229&lt;&gt;"",B229&lt;&gt;"",COUNT(D229:N229)&gt;0)),"",IF(OR(A229="",B229="",COUNT(D229:E229,H229:I229,L229:N229)&lt;&gt;7),"ناقص",IF(OR(MIN(D229:E229,H229:I229,L229:N229)&lt;0,Q229&lt;0),"ورودی نامعتبر",IF(R229&lt;0,"کسری",IF(R229&gt;0,"اضافه","بدون مغایرت")))))</x:f>
      </x:c>
      <x:c r="V229" s="10" t="str">
        <x:f>IF(OR(A229="",B229=""),"",IF(COUNTIFS($A$8:$A$507,A229,$B$8:$B$507,B229)&gt;1,"ثبت تکراری",""))</x:f>
      </x:c>
      <x:c r="W229" s="9"/>
    </x:row>
    <x:row r="230" ht="25" customHeight="1">
      <x:c r="A230" s="11"/>
      <x:c r="B230" s="11"/>
      <x:c r="C230" s="11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3" t="str">
        <x:f>IF(COUNT(D230:E230)=2,SUM(D230:E230),"")</x:f>
      </x:c>
      <x:c r="P230" s="13" t="str">
        <x:f>IF(COUNT(H230:I230)=2,SUM(H230:I230),"")</x:f>
      </x:c>
      <x:c r="Q230" s="13" t="str">
        <x:f>IF(AND(ISNUMBER(O230),COUNT(L230:N230)=3),O230+L230-M230-N230,"")</x:f>
      </x:c>
      <x:c r="R230" s="13" t="str">
        <x:f>IF(AND(A230&lt;&gt;"",B230&lt;&gt;"",ISNUMBER(P230),ISNUMBER(Q230)),P230-Q230,"")</x:f>
      </x:c>
      <x:c r="S230" s="13" t="str">
        <x:f>IF(COUNT(H230,J230)=2,J230-H230,"")</x:f>
      </x:c>
      <x:c r="T230" s="13" t="str">
        <x:f>IF(COUNT(I230,K230)=2,K230-I230,"")</x:f>
      </x:c>
      <x:c r="U230" s="10" t="str">
        <x:f>IF(NOT(OR(A230&lt;&gt;"",B230&lt;&gt;"",COUNT(D230:N230)&gt;0)),"",IF(OR(A230="",B230="",COUNT(D230:E230,H230:I230,L230:N230)&lt;&gt;7),"ناقص",IF(OR(MIN(D230:E230,H230:I230,L230:N230)&lt;0,Q230&lt;0),"ورودی نامعتبر",IF(R230&lt;0,"کسری",IF(R230&gt;0,"اضافه","بدون مغایرت")))))</x:f>
      </x:c>
      <x:c r="V230" s="10" t="str">
        <x:f>IF(OR(A230="",B230=""),"",IF(COUNTIFS($A$8:$A$507,A230,$B$8:$B$507,B230)&gt;1,"ثبت تکراری",""))</x:f>
      </x:c>
      <x:c r="W230" s="9"/>
    </x:row>
    <x:row r="231" ht="25" customHeight="1">
      <x:c r="A231" s="11"/>
      <x:c r="B231" s="11"/>
      <x:c r="C231" s="11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3" t="str">
        <x:f>IF(COUNT(D231:E231)=2,SUM(D231:E231),"")</x:f>
      </x:c>
      <x:c r="P231" s="13" t="str">
        <x:f>IF(COUNT(H231:I231)=2,SUM(H231:I231),"")</x:f>
      </x:c>
      <x:c r="Q231" s="13" t="str">
        <x:f>IF(AND(ISNUMBER(O231),COUNT(L231:N231)=3),O231+L231-M231-N231,"")</x:f>
      </x:c>
      <x:c r="R231" s="13" t="str">
        <x:f>IF(AND(A231&lt;&gt;"",B231&lt;&gt;"",ISNUMBER(P231),ISNUMBER(Q231)),P231-Q231,"")</x:f>
      </x:c>
      <x:c r="S231" s="13" t="str">
        <x:f>IF(COUNT(H231,J231)=2,J231-H231,"")</x:f>
      </x:c>
      <x:c r="T231" s="13" t="str">
        <x:f>IF(COUNT(I231,K231)=2,K231-I231,"")</x:f>
      </x:c>
      <x:c r="U231" s="10" t="str">
        <x:f>IF(NOT(OR(A231&lt;&gt;"",B231&lt;&gt;"",COUNT(D231:N231)&gt;0)),"",IF(OR(A231="",B231="",COUNT(D231:E231,H231:I231,L231:N231)&lt;&gt;7),"ناقص",IF(OR(MIN(D231:E231,H231:I231,L231:N231)&lt;0,Q231&lt;0),"ورودی نامعتبر",IF(R231&lt;0,"کسری",IF(R231&gt;0,"اضافه","بدون مغایرت")))))</x:f>
      </x:c>
      <x:c r="V231" s="10" t="str">
        <x:f>IF(OR(A231="",B231=""),"",IF(COUNTIFS($A$8:$A$507,A231,$B$8:$B$507,B231)&gt;1,"ثبت تکراری",""))</x:f>
      </x:c>
      <x:c r="W231" s="9"/>
    </x:row>
    <x:row r="232" ht="25" customHeight="1">
      <x:c r="A232" s="11"/>
      <x:c r="B232" s="11"/>
      <x:c r="C232" s="11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3" t="str">
        <x:f>IF(COUNT(D232:E232)=2,SUM(D232:E232),"")</x:f>
      </x:c>
      <x:c r="P232" s="13" t="str">
        <x:f>IF(COUNT(H232:I232)=2,SUM(H232:I232),"")</x:f>
      </x:c>
      <x:c r="Q232" s="13" t="str">
        <x:f>IF(AND(ISNUMBER(O232),COUNT(L232:N232)=3),O232+L232-M232-N232,"")</x:f>
      </x:c>
      <x:c r="R232" s="13" t="str">
        <x:f>IF(AND(A232&lt;&gt;"",B232&lt;&gt;"",ISNUMBER(P232),ISNUMBER(Q232)),P232-Q232,"")</x:f>
      </x:c>
      <x:c r="S232" s="13" t="str">
        <x:f>IF(COUNT(H232,J232)=2,J232-H232,"")</x:f>
      </x:c>
      <x:c r="T232" s="13" t="str">
        <x:f>IF(COUNT(I232,K232)=2,K232-I232,"")</x:f>
      </x:c>
      <x:c r="U232" s="10" t="str">
        <x:f>IF(NOT(OR(A232&lt;&gt;"",B232&lt;&gt;"",COUNT(D232:N232)&gt;0)),"",IF(OR(A232="",B232="",COUNT(D232:E232,H232:I232,L232:N232)&lt;&gt;7),"ناقص",IF(OR(MIN(D232:E232,H232:I232,L232:N232)&lt;0,Q232&lt;0),"ورودی نامعتبر",IF(R232&lt;0,"کسری",IF(R232&gt;0,"اضافه","بدون مغایرت")))))</x:f>
      </x:c>
      <x:c r="V232" s="10" t="str">
        <x:f>IF(OR(A232="",B232=""),"",IF(COUNTIFS($A$8:$A$507,A232,$B$8:$B$507,B232)&gt;1,"ثبت تکراری",""))</x:f>
      </x:c>
      <x:c r="W232" s="9"/>
    </x:row>
    <x:row r="233" ht="25" customHeight="1">
      <x:c r="A233" s="11"/>
      <x:c r="B233" s="11"/>
      <x:c r="C233" s="11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3" t="str">
        <x:f>IF(COUNT(D233:E233)=2,SUM(D233:E233),"")</x:f>
      </x:c>
      <x:c r="P233" s="13" t="str">
        <x:f>IF(COUNT(H233:I233)=2,SUM(H233:I233),"")</x:f>
      </x:c>
      <x:c r="Q233" s="13" t="str">
        <x:f>IF(AND(ISNUMBER(O233),COUNT(L233:N233)=3),O233+L233-M233-N233,"")</x:f>
      </x:c>
      <x:c r="R233" s="13" t="str">
        <x:f>IF(AND(A233&lt;&gt;"",B233&lt;&gt;"",ISNUMBER(P233),ISNUMBER(Q233)),P233-Q233,"")</x:f>
      </x:c>
      <x:c r="S233" s="13" t="str">
        <x:f>IF(COUNT(H233,J233)=2,J233-H233,"")</x:f>
      </x:c>
      <x:c r="T233" s="13" t="str">
        <x:f>IF(COUNT(I233,K233)=2,K233-I233,"")</x:f>
      </x:c>
      <x:c r="U233" s="10" t="str">
        <x:f>IF(NOT(OR(A233&lt;&gt;"",B233&lt;&gt;"",COUNT(D233:N233)&gt;0)),"",IF(OR(A233="",B233="",COUNT(D233:E233,H233:I233,L233:N233)&lt;&gt;7),"ناقص",IF(OR(MIN(D233:E233,H233:I233,L233:N233)&lt;0,Q233&lt;0),"ورودی نامعتبر",IF(R233&lt;0,"کسری",IF(R233&gt;0,"اضافه","بدون مغایرت")))))</x:f>
      </x:c>
      <x:c r="V233" s="10" t="str">
        <x:f>IF(OR(A233="",B233=""),"",IF(COUNTIFS($A$8:$A$507,A233,$B$8:$B$507,B233)&gt;1,"ثبت تکراری",""))</x:f>
      </x:c>
      <x:c r="W233" s="9"/>
    </x:row>
    <x:row r="234" ht="25" customHeight="1">
      <x:c r="A234" s="11"/>
      <x:c r="B234" s="11"/>
      <x:c r="C234" s="11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3" t="str">
        <x:f>IF(COUNT(D234:E234)=2,SUM(D234:E234),"")</x:f>
      </x:c>
      <x:c r="P234" s="13" t="str">
        <x:f>IF(COUNT(H234:I234)=2,SUM(H234:I234),"")</x:f>
      </x:c>
      <x:c r="Q234" s="13" t="str">
        <x:f>IF(AND(ISNUMBER(O234),COUNT(L234:N234)=3),O234+L234-M234-N234,"")</x:f>
      </x:c>
      <x:c r="R234" s="13" t="str">
        <x:f>IF(AND(A234&lt;&gt;"",B234&lt;&gt;"",ISNUMBER(P234),ISNUMBER(Q234)),P234-Q234,"")</x:f>
      </x:c>
      <x:c r="S234" s="13" t="str">
        <x:f>IF(COUNT(H234,J234)=2,J234-H234,"")</x:f>
      </x:c>
      <x:c r="T234" s="13" t="str">
        <x:f>IF(COUNT(I234,K234)=2,K234-I234,"")</x:f>
      </x:c>
      <x:c r="U234" s="10" t="str">
        <x:f>IF(NOT(OR(A234&lt;&gt;"",B234&lt;&gt;"",COUNT(D234:N234)&gt;0)),"",IF(OR(A234="",B234="",COUNT(D234:E234,H234:I234,L234:N234)&lt;&gt;7),"ناقص",IF(OR(MIN(D234:E234,H234:I234,L234:N234)&lt;0,Q234&lt;0),"ورودی نامعتبر",IF(R234&lt;0,"کسری",IF(R234&gt;0,"اضافه","بدون مغایرت")))))</x:f>
      </x:c>
      <x:c r="V234" s="10" t="str">
        <x:f>IF(OR(A234="",B234=""),"",IF(COUNTIFS($A$8:$A$507,A234,$B$8:$B$507,B234)&gt;1,"ثبت تکراری",""))</x:f>
      </x:c>
      <x:c r="W234" s="9"/>
    </x:row>
    <x:row r="235" ht="25" customHeight="1">
      <x:c r="A235" s="11"/>
      <x:c r="B235" s="11"/>
      <x:c r="C235" s="11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3" t="str">
        <x:f>IF(COUNT(D235:E235)=2,SUM(D235:E235),"")</x:f>
      </x:c>
      <x:c r="P235" s="13" t="str">
        <x:f>IF(COUNT(H235:I235)=2,SUM(H235:I235),"")</x:f>
      </x:c>
      <x:c r="Q235" s="13" t="str">
        <x:f>IF(AND(ISNUMBER(O235),COUNT(L235:N235)=3),O235+L235-M235-N235,"")</x:f>
      </x:c>
      <x:c r="R235" s="13" t="str">
        <x:f>IF(AND(A235&lt;&gt;"",B235&lt;&gt;"",ISNUMBER(P235),ISNUMBER(Q235)),P235-Q235,"")</x:f>
      </x:c>
      <x:c r="S235" s="13" t="str">
        <x:f>IF(COUNT(H235,J235)=2,J235-H235,"")</x:f>
      </x:c>
      <x:c r="T235" s="13" t="str">
        <x:f>IF(COUNT(I235,K235)=2,K235-I235,"")</x:f>
      </x:c>
      <x:c r="U235" s="10" t="str">
        <x:f>IF(NOT(OR(A235&lt;&gt;"",B235&lt;&gt;"",COUNT(D235:N235)&gt;0)),"",IF(OR(A235="",B235="",COUNT(D235:E235,H235:I235,L235:N235)&lt;&gt;7),"ناقص",IF(OR(MIN(D235:E235,H235:I235,L235:N235)&lt;0,Q235&lt;0),"ورودی نامعتبر",IF(R235&lt;0,"کسری",IF(R235&gt;0,"اضافه","بدون مغایرت")))))</x:f>
      </x:c>
      <x:c r="V235" s="10" t="str">
        <x:f>IF(OR(A235="",B235=""),"",IF(COUNTIFS($A$8:$A$507,A235,$B$8:$B$507,B235)&gt;1,"ثبت تکراری",""))</x:f>
      </x:c>
      <x:c r="W235" s="9"/>
    </x:row>
    <x:row r="236" ht="25" customHeight="1">
      <x:c r="A236" s="11"/>
      <x:c r="B236" s="11"/>
      <x:c r="C236" s="11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3" t="str">
        <x:f>IF(COUNT(D236:E236)=2,SUM(D236:E236),"")</x:f>
      </x:c>
      <x:c r="P236" s="13" t="str">
        <x:f>IF(COUNT(H236:I236)=2,SUM(H236:I236),"")</x:f>
      </x:c>
      <x:c r="Q236" s="13" t="str">
        <x:f>IF(AND(ISNUMBER(O236),COUNT(L236:N236)=3),O236+L236-M236-N236,"")</x:f>
      </x:c>
      <x:c r="R236" s="13" t="str">
        <x:f>IF(AND(A236&lt;&gt;"",B236&lt;&gt;"",ISNUMBER(P236),ISNUMBER(Q236)),P236-Q236,"")</x:f>
      </x:c>
      <x:c r="S236" s="13" t="str">
        <x:f>IF(COUNT(H236,J236)=2,J236-H236,"")</x:f>
      </x:c>
      <x:c r="T236" s="13" t="str">
        <x:f>IF(COUNT(I236,K236)=2,K236-I236,"")</x:f>
      </x:c>
      <x:c r="U236" s="10" t="str">
        <x:f>IF(NOT(OR(A236&lt;&gt;"",B236&lt;&gt;"",COUNT(D236:N236)&gt;0)),"",IF(OR(A236="",B236="",COUNT(D236:E236,H236:I236,L236:N236)&lt;&gt;7),"ناقص",IF(OR(MIN(D236:E236,H236:I236,L236:N236)&lt;0,Q236&lt;0),"ورودی نامعتبر",IF(R236&lt;0,"کسری",IF(R236&gt;0,"اضافه","بدون مغایرت")))))</x:f>
      </x:c>
      <x:c r="V236" s="10" t="str">
        <x:f>IF(OR(A236="",B236=""),"",IF(COUNTIFS($A$8:$A$507,A236,$B$8:$B$507,B236)&gt;1,"ثبت تکراری",""))</x:f>
      </x:c>
      <x:c r="W236" s="9"/>
    </x:row>
    <x:row r="237" ht="25" customHeight="1">
      <x:c r="A237" s="11"/>
      <x:c r="B237" s="11"/>
      <x:c r="C237" s="11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3" t="str">
        <x:f>IF(COUNT(D237:E237)=2,SUM(D237:E237),"")</x:f>
      </x:c>
      <x:c r="P237" s="13" t="str">
        <x:f>IF(COUNT(H237:I237)=2,SUM(H237:I237),"")</x:f>
      </x:c>
      <x:c r="Q237" s="13" t="str">
        <x:f>IF(AND(ISNUMBER(O237),COUNT(L237:N237)=3),O237+L237-M237-N237,"")</x:f>
      </x:c>
      <x:c r="R237" s="13" t="str">
        <x:f>IF(AND(A237&lt;&gt;"",B237&lt;&gt;"",ISNUMBER(P237),ISNUMBER(Q237)),P237-Q237,"")</x:f>
      </x:c>
      <x:c r="S237" s="13" t="str">
        <x:f>IF(COUNT(H237,J237)=2,J237-H237,"")</x:f>
      </x:c>
      <x:c r="T237" s="13" t="str">
        <x:f>IF(COUNT(I237,K237)=2,K237-I237,"")</x:f>
      </x:c>
      <x:c r="U237" s="10" t="str">
        <x:f>IF(NOT(OR(A237&lt;&gt;"",B237&lt;&gt;"",COUNT(D237:N237)&gt;0)),"",IF(OR(A237="",B237="",COUNT(D237:E237,H237:I237,L237:N237)&lt;&gt;7),"ناقص",IF(OR(MIN(D237:E237,H237:I237,L237:N237)&lt;0,Q237&lt;0),"ورودی نامعتبر",IF(R237&lt;0,"کسری",IF(R237&gt;0,"اضافه","بدون مغایرت")))))</x:f>
      </x:c>
      <x:c r="V237" s="10" t="str">
        <x:f>IF(OR(A237="",B237=""),"",IF(COUNTIFS($A$8:$A$507,A237,$B$8:$B$507,B237)&gt;1,"ثبت تکراری",""))</x:f>
      </x:c>
      <x:c r="W237" s="9"/>
    </x:row>
    <x:row r="238" ht="25" customHeight="1">
      <x:c r="A238" s="11"/>
      <x:c r="B238" s="11"/>
      <x:c r="C238" s="11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3" t="str">
        <x:f>IF(COUNT(D238:E238)=2,SUM(D238:E238),"")</x:f>
      </x:c>
      <x:c r="P238" s="13" t="str">
        <x:f>IF(COUNT(H238:I238)=2,SUM(H238:I238),"")</x:f>
      </x:c>
      <x:c r="Q238" s="13" t="str">
        <x:f>IF(AND(ISNUMBER(O238),COUNT(L238:N238)=3),O238+L238-M238-N238,"")</x:f>
      </x:c>
      <x:c r="R238" s="13" t="str">
        <x:f>IF(AND(A238&lt;&gt;"",B238&lt;&gt;"",ISNUMBER(P238),ISNUMBER(Q238)),P238-Q238,"")</x:f>
      </x:c>
      <x:c r="S238" s="13" t="str">
        <x:f>IF(COUNT(H238,J238)=2,J238-H238,"")</x:f>
      </x:c>
      <x:c r="T238" s="13" t="str">
        <x:f>IF(COUNT(I238,K238)=2,K238-I238,"")</x:f>
      </x:c>
      <x:c r="U238" s="10" t="str">
        <x:f>IF(NOT(OR(A238&lt;&gt;"",B238&lt;&gt;"",COUNT(D238:N238)&gt;0)),"",IF(OR(A238="",B238="",COUNT(D238:E238,H238:I238,L238:N238)&lt;&gt;7),"ناقص",IF(OR(MIN(D238:E238,H238:I238,L238:N238)&lt;0,Q238&lt;0),"ورودی نامعتبر",IF(R238&lt;0,"کسری",IF(R238&gt;0,"اضافه","بدون مغایرت")))))</x:f>
      </x:c>
      <x:c r="V238" s="10" t="str">
        <x:f>IF(OR(A238="",B238=""),"",IF(COUNTIFS($A$8:$A$507,A238,$B$8:$B$507,B238)&gt;1,"ثبت تکراری",""))</x:f>
      </x:c>
      <x:c r="W238" s="9"/>
    </x:row>
    <x:row r="239" ht="25" customHeight="1">
      <x:c r="A239" s="11"/>
      <x:c r="B239" s="11"/>
      <x:c r="C239" s="11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3" t="str">
        <x:f>IF(COUNT(D239:E239)=2,SUM(D239:E239),"")</x:f>
      </x:c>
      <x:c r="P239" s="13" t="str">
        <x:f>IF(COUNT(H239:I239)=2,SUM(H239:I239),"")</x:f>
      </x:c>
      <x:c r="Q239" s="13" t="str">
        <x:f>IF(AND(ISNUMBER(O239),COUNT(L239:N239)=3),O239+L239-M239-N239,"")</x:f>
      </x:c>
      <x:c r="R239" s="13" t="str">
        <x:f>IF(AND(A239&lt;&gt;"",B239&lt;&gt;"",ISNUMBER(P239),ISNUMBER(Q239)),P239-Q239,"")</x:f>
      </x:c>
      <x:c r="S239" s="13" t="str">
        <x:f>IF(COUNT(H239,J239)=2,J239-H239,"")</x:f>
      </x:c>
      <x:c r="T239" s="13" t="str">
        <x:f>IF(COUNT(I239,K239)=2,K239-I239,"")</x:f>
      </x:c>
      <x:c r="U239" s="10" t="str">
        <x:f>IF(NOT(OR(A239&lt;&gt;"",B239&lt;&gt;"",COUNT(D239:N239)&gt;0)),"",IF(OR(A239="",B239="",COUNT(D239:E239,H239:I239,L239:N239)&lt;&gt;7),"ناقص",IF(OR(MIN(D239:E239,H239:I239,L239:N239)&lt;0,Q239&lt;0),"ورودی نامعتبر",IF(R239&lt;0,"کسری",IF(R239&gt;0,"اضافه","بدون مغایرت")))))</x:f>
      </x:c>
      <x:c r="V239" s="10" t="str">
        <x:f>IF(OR(A239="",B239=""),"",IF(COUNTIFS($A$8:$A$507,A239,$B$8:$B$507,B239)&gt;1,"ثبت تکراری",""))</x:f>
      </x:c>
      <x:c r="W239" s="9"/>
    </x:row>
    <x:row r="240" ht="25" customHeight="1">
      <x:c r="A240" s="11"/>
      <x:c r="B240" s="11"/>
      <x:c r="C240" s="11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3" t="str">
        <x:f>IF(COUNT(D240:E240)=2,SUM(D240:E240),"")</x:f>
      </x:c>
      <x:c r="P240" s="13" t="str">
        <x:f>IF(COUNT(H240:I240)=2,SUM(H240:I240),"")</x:f>
      </x:c>
      <x:c r="Q240" s="13" t="str">
        <x:f>IF(AND(ISNUMBER(O240),COUNT(L240:N240)=3),O240+L240-M240-N240,"")</x:f>
      </x:c>
      <x:c r="R240" s="13" t="str">
        <x:f>IF(AND(A240&lt;&gt;"",B240&lt;&gt;"",ISNUMBER(P240),ISNUMBER(Q240)),P240-Q240,"")</x:f>
      </x:c>
      <x:c r="S240" s="13" t="str">
        <x:f>IF(COUNT(H240,J240)=2,J240-H240,"")</x:f>
      </x:c>
      <x:c r="T240" s="13" t="str">
        <x:f>IF(COUNT(I240,K240)=2,K240-I240,"")</x:f>
      </x:c>
      <x:c r="U240" s="10" t="str">
        <x:f>IF(NOT(OR(A240&lt;&gt;"",B240&lt;&gt;"",COUNT(D240:N240)&gt;0)),"",IF(OR(A240="",B240="",COUNT(D240:E240,H240:I240,L240:N240)&lt;&gt;7),"ناقص",IF(OR(MIN(D240:E240,H240:I240,L240:N240)&lt;0,Q240&lt;0),"ورودی نامعتبر",IF(R240&lt;0,"کسری",IF(R240&gt;0,"اضافه","بدون مغایرت")))))</x:f>
      </x:c>
      <x:c r="V240" s="10" t="str">
        <x:f>IF(OR(A240="",B240=""),"",IF(COUNTIFS($A$8:$A$507,A240,$B$8:$B$507,B240)&gt;1,"ثبت تکراری",""))</x:f>
      </x:c>
      <x:c r="W240" s="9"/>
    </x:row>
    <x:row r="241" ht="25" customHeight="1">
      <x:c r="A241" s="11"/>
      <x:c r="B241" s="11"/>
      <x:c r="C241" s="11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3" t="str">
        <x:f>IF(COUNT(D241:E241)=2,SUM(D241:E241),"")</x:f>
      </x:c>
      <x:c r="P241" s="13" t="str">
        <x:f>IF(COUNT(H241:I241)=2,SUM(H241:I241),"")</x:f>
      </x:c>
      <x:c r="Q241" s="13" t="str">
        <x:f>IF(AND(ISNUMBER(O241),COUNT(L241:N241)=3),O241+L241-M241-N241,"")</x:f>
      </x:c>
      <x:c r="R241" s="13" t="str">
        <x:f>IF(AND(A241&lt;&gt;"",B241&lt;&gt;"",ISNUMBER(P241),ISNUMBER(Q241)),P241-Q241,"")</x:f>
      </x:c>
      <x:c r="S241" s="13" t="str">
        <x:f>IF(COUNT(H241,J241)=2,J241-H241,"")</x:f>
      </x:c>
      <x:c r="T241" s="13" t="str">
        <x:f>IF(COUNT(I241,K241)=2,K241-I241,"")</x:f>
      </x:c>
      <x:c r="U241" s="10" t="str">
        <x:f>IF(NOT(OR(A241&lt;&gt;"",B241&lt;&gt;"",COUNT(D241:N241)&gt;0)),"",IF(OR(A241="",B241="",COUNT(D241:E241,H241:I241,L241:N241)&lt;&gt;7),"ناقص",IF(OR(MIN(D241:E241,H241:I241,L241:N241)&lt;0,Q241&lt;0),"ورودی نامعتبر",IF(R241&lt;0,"کسری",IF(R241&gt;0,"اضافه","بدون مغایرت")))))</x:f>
      </x:c>
      <x:c r="V241" s="10" t="str">
        <x:f>IF(OR(A241="",B241=""),"",IF(COUNTIFS($A$8:$A$507,A241,$B$8:$B$507,B241)&gt;1,"ثبت تکراری",""))</x:f>
      </x:c>
      <x:c r="W241" s="9"/>
    </x:row>
    <x:row r="242" ht="25" customHeight="1">
      <x:c r="A242" s="11"/>
      <x:c r="B242" s="11"/>
      <x:c r="C242" s="11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3" t="str">
        <x:f>IF(COUNT(D242:E242)=2,SUM(D242:E242),"")</x:f>
      </x:c>
      <x:c r="P242" s="13" t="str">
        <x:f>IF(COUNT(H242:I242)=2,SUM(H242:I242),"")</x:f>
      </x:c>
      <x:c r="Q242" s="13" t="str">
        <x:f>IF(AND(ISNUMBER(O242),COUNT(L242:N242)=3),O242+L242-M242-N242,"")</x:f>
      </x:c>
      <x:c r="R242" s="13" t="str">
        <x:f>IF(AND(A242&lt;&gt;"",B242&lt;&gt;"",ISNUMBER(P242),ISNUMBER(Q242)),P242-Q242,"")</x:f>
      </x:c>
      <x:c r="S242" s="13" t="str">
        <x:f>IF(COUNT(H242,J242)=2,J242-H242,"")</x:f>
      </x:c>
      <x:c r="T242" s="13" t="str">
        <x:f>IF(COUNT(I242,K242)=2,K242-I242,"")</x:f>
      </x:c>
      <x:c r="U242" s="10" t="str">
        <x:f>IF(NOT(OR(A242&lt;&gt;"",B242&lt;&gt;"",COUNT(D242:N242)&gt;0)),"",IF(OR(A242="",B242="",COUNT(D242:E242,H242:I242,L242:N242)&lt;&gt;7),"ناقص",IF(OR(MIN(D242:E242,H242:I242,L242:N242)&lt;0,Q242&lt;0),"ورودی نامعتبر",IF(R242&lt;0,"کسری",IF(R242&gt;0,"اضافه","بدون مغایرت")))))</x:f>
      </x:c>
      <x:c r="V242" s="10" t="str">
        <x:f>IF(OR(A242="",B242=""),"",IF(COUNTIFS($A$8:$A$507,A242,$B$8:$B$507,B242)&gt;1,"ثبت تکراری",""))</x:f>
      </x:c>
      <x:c r="W242" s="9"/>
    </x:row>
    <x:row r="243" ht="25" customHeight="1">
      <x:c r="A243" s="11"/>
      <x:c r="B243" s="11"/>
      <x:c r="C243" s="11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3" t="str">
        <x:f>IF(COUNT(D243:E243)=2,SUM(D243:E243),"")</x:f>
      </x:c>
      <x:c r="P243" s="13" t="str">
        <x:f>IF(COUNT(H243:I243)=2,SUM(H243:I243),"")</x:f>
      </x:c>
      <x:c r="Q243" s="13" t="str">
        <x:f>IF(AND(ISNUMBER(O243),COUNT(L243:N243)=3),O243+L243-M243-N243,"")</x:f>
      </x:c>
      <x:c r="R243" s="13" t="str">
        <x:f>IF(AND(A243&lt;&gt;"",B243&lt;&gt;"",ISNUMBER(P243),ISNUMBER(Q243)),P243-Q243,"")</x:f>
      </x:c>
      <x:c r="S243" s="13" t="str">
        <x:f>IF(COUNT(H243,J243)=2,J243-H243,"")</x:f>
      </x:c>
      <x:c r="T243" s="13" t="str">
        <x:f>IF(COUNT(I243,K243)=2,K243-I243,"")</x:f>
      </x:c>
      <x:c r="U243" s="10" t="str">
        <x:f>IF(NOT(OR(A243&lt;&gt;"",B243&lt;&gt;"",COUNT(D243:N243)&gt;0)),"",IF(OR(A243="",B243="",COUNT(D243:E243,H243:I243,L243:N243)&lt;&gt;7),"ناقص",IF(OR(MIN(D243:E243,H243:I243,L243:N243)&lt;0,Q243&lt;0),"ورودی نامعتبر",IF(R243&lt;0,"کسری",IF(R243&gt;0,"اضافه","بدون مغایرت")))))</x:f>
      </x:c>
      <x:c r="V243" s="10" t="str">
        <x:f>IF(OR(A243="",B243=""),"",IF(COUNTIFS($A$8:$A$507,A243,$B$8:$B$507,B243)&gt;1,"ثبت تکراری",""))</x:f>
      </x:c>
      <x:c r="W243" s="9"/>
    </x:row>
    <x:row r="244" ht="25" customHeight="1">
      <x:c r="A244" s="11"/>
      <x:c r="B244" s="11"/>
      <x:c r="C244" s="11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3" t="str">
        <x:f>IF(COUNT(D244:E244)=2,SUM(D244:E244),"")</x:f>
      </x:c>
      <x:c r="P244" s="13" t="str">
        <x:f>IF(COUNT(H244:I244)=2,SUM(H244:I244),"")</x:f>
      </x:c>
      <x:c r="Q244" s="13" t="str">
        <x:f>IF(AND(ISNUMBER(O244),COUNT(L244:N244)=3),O244+L244-M244-N244,"")</x:f>
      </x:c>
      <x:c r="R244" s="13" t="str">
        <x:f>IF(AND(A244&lt;&gt;"",B244&lt;&gt;"",ISNUMBER(P244),ISNUMBER(Q244)),P244-Q244,"")</x:f>
      </x:c>
      <x:c r="S244" s="13" t="str">
        <x:f>IF(COUNT(H244,J244)=2,J244-H244,"")</x:f>
      </x:c>
      <x:c r="T244" s="13" t="str">
        <x:f>IF(COUNT(I244,K244)=2,K244-I244,"")</x:f>
      </x:c>
      <x:c r="U244" s="10" t="str">
        <x:f>IF(NOT(OR(A244&lt;&gt;"",B244&lt;&gt;"",COUNT(D244:N244)&gt;0)),"",IF(OR(A244="",B244="",COUNT(D244:E244,H244:I244,L244:N244)&lt;&gt;7),"ناقص",IF(OR(MIN(D244:E244,H244:I244,L244:N244)&lt;0,Q244&lt;0),"ورودی نامعتبر",IF(R244&lt;0,"کسری",IF(R244&gt;0,"اضافه","بدون مغایرت")))))</x:f>
      </x:c>
      <x:c r="V244" s="10" t="str">
        <x:f>IF(OR(A244="",B244=""),"",IF(COUNTIFS($A$8:$A$507,A244,$B$8:$B$507,B244)&gt;1,"ثبت تکراری",""))</x:f>
      </x:c>
      <x:c r="W244" s="9"/>
    </x:row>
    <x:row r="245" ht="25" customHeight="1">
      <x:c r="A245" s="11"/>
      <x:c r="B245" s="11"/>
      <x:c r="C245" s="11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3" t="str">
        <x:f>IF(COUNT(D245:E245)=2,SUM(D245:E245),"")</x:f>
      </x:c>
      <x:c r="P245" s="13" t="str">
        <x:f>IF(COUNT(H245:I245)=2,SUM(H245:I245),"")</x:f>
      </x:c>
      <x:c r="Q245" s="13" t="str">
        <x:f>IF(AND(ISNUMBER(O245),COUNT(L245:N245)=3),O245+L245-M245-N245,"")</x:f>
      </x:c>
      <x:c r="R245" s="13" t="str">
        <x:f>IF(AND(A245&lt;&gt;"",B245&lt;&gt;"",ISNUMBER(P245),ISNUMBER(Q245)),P245-Q245,"")</x:f>
      </x:c>
      <x:c r="S245" s="13" t="str">
        <x:f>IF(COUNT(H245,J245)=2,J245-H245,"")</x:f>
      </x:c>
      <x:c r="T245" s="13" t="str">
        <x:f>IF(COUNT(I245,K245)=2,K245-I245,"")</x:f>
      </x:c>
      <x:c r="U245" s="10" t="str">
        <x:f>IF(NOT(OR(A245&lt;&gt;"",B245&lt;&gt;"",COUNT(D245:N245)&gt;0)),"",IF(OR(A245="",B245="",COUNT(D245:E245,H245:I245,L245:N245)&lt;&gt;7),"ناقص",IF(OR(MIN(D245:E245,H245:I245,L245:N245)&lt;0,Q245&lt;0),"ورودی نامعتبر",IF(R245&lt;0,"کسری",IF(R245&gt;0,"اضافه","بدون مغایرت")))))</x:f>
      </x:c>
      <x:c r="V245" s="10" t="str">
        <x:f>IF(OR(A245="",B245=""),"",IF(COUNTIFS($A$8:$A$507,A245,$B$8:$B$507,B245)&gt;1,"ثبت تکراری",""))</x:f>
      </x:c>
      <x:c r="W245" s="9"/>
    </x:row>
    <x:row r="246" ht="25" customHeight="1">
      <x:c r="A246" s="11"/>
      <x:c r="B246" s="11"/>
      <x:c r="C246" s="11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3" t="str">
        <x:f>IF(COUNT(D246:E246)=2,SUM(D246:E246),"")</x:f>
      </x:c>
      <x:c r="P246" s="13" t="str">
        <x:f>IF(COUNT(H246:I246)=2,SUM(H246:I246),"")</x:f>
      </x:c>
      <x:c r="Q246" s="13" t="str">
        <x:f>IF(AND(ISNUMBER(O246),COUNT(L246:N246)=3),O246+L246-M246-N246,"")</x:f>
      </x:c>
      <x:c r="R246" s="13" t="str">
        <x:f>IF(AND(A246&lt;&gt;"",B246&lt;&gt;"",ISNUMBER(P246),ISNUMBER(Q246)),P246-Q246,"")</x:f>
      </x:c>
      <x:c r="S246" s="13" t="str">
        <x:f>IF(COUNT(H246,J246)=2,J246-H246,"")</x:f>
      </x:c>
      <x:c r="T246" s="13" t="str">
        <x:f>IF(COUNT(I246,K246)=2,K246-I246,"")</x:f>
      </x:c>
      <x:c r="U246" s="10" t="str">
        <x:f>IF(NOT(OR(A246&lt;&gt;"",B246&lt;&gt;"",COUNT(D246:N246)&gt;0)),"",IF(OR(A246="",B246="",COUNT(D246:E246,H246:I246,L246:N246)&lt;&gt;7),"ناقص",IF(OR(MIN(D246:E246,H246:I246,L246:N246)&lt;0,Q246&lt;0),"ورودی نامعتبر",IF(R246&lt;0,"کسری",IF(R246&gt;0,"اضافه","بدون مغایرت")))))</x:f>
      </x:c>
      <x:c r="V246" s="10" t="str">
        <x:f>IF(OR(A246="",B246=""),"",IF(COUNTIFS($A$8:$A$507,A246,$B$8:$B$507,B246)&gt;1,"ثبت تکراری",""))</x:f>
      </x:c>
      <x:c r="W246" s="9"/>
    </x:row>
    <x:row r="247" ht="25" customHeight="1">
      <x:c r="A247" s="11"/>
      <x:c r="B247" s="11"/>
      <x:c r="C247" s="11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3" t="str">
        <x:f>IF(COUNT(D247:E247)=2,SUM(D247:E247),"")</x:f>
      </x:c>
      <x:c r="P247" s="13" t="str">
        <x:f>IF(COUNT(H247:I247)=2,SUM(H247:I247),"")</x:f>
      </x:c>
      <x:c r="Q247" s="13" t="str">
        <x:f>IF(AND(ISNUMBER(O247),COUNT(L247:N247)=3),O247+L247-M247-N247,"")</x:f>
      </x:c>
      <x:c r="R247" s="13" t="str">
        <x:f>IF(AND(A247&lt;&gt;"",B247&lt;&gt;"",ISNUMBER(P247),ISNUMBER(Q247)),P247-Q247,"")</x:f>
      </x:c>
      <x:c r="S247" s="13" t="str">
        <x:f>IF(COUNT(H247,J247)=2,J247-H247,"")</x:f>
      </x:c>
      <x:c r="T247" s="13" t="str">
        <x:f>IF(COUNT(I247,K247)=2,K247-I247,"")</x:f>
      </x:c>
      <x:c r="U247" s="10" t="str">
        <x:f>IF(NOT(OR(A247&lt;&gt;"",B247&lt;&gt;"",COUNT(D247:N247)&gt;0)),"",IF(OR(A247="",B247="",COUNT(D247:E247,H247:I247,L247:N247)&lt;&gt;7),"ناقص",IF(OR(MIN(D247:E247,H247:I247,L247:N247)&lt;0,Q247&lt;0),"ورودی نامعتبر",IF(R247&lt;0,"کسری",IF(R247&gt;0,"اضافه","بدون مغایرت")))))</x:f>
      </x:c>
      <x:c r="V247" s="10" t="str">
        <x:f>IF(OR(A247="",B247=""),"",IF(COUNTIFS($A$8:$A$507,A247,$B$8:$B$507,B247)&gt;1,"ثبت تکراری",""))</x:f>
      </x:c>
      <x:c r="W247" s="9"/>
    </x:row>
    <x:row r="248" ht="25" customHeight="1">
      <x:c r="A248" s="11"/>
      <x:c r="B248" s="11"/>
      <x:c r="C248" s="11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3" t="str">
        <x:f>IF(COUNT(D248:E248)=2,SUM(D248:E248),"")</x:f>
      </x:c>
      <x:c r="P248" s="13" t="str">
        <x:f>IF(COUNT(H248:I248)=2,SUM(H248:I248),"")</x:f>
      </x:c>
      <x:c r="Q248" s="13" t="str">
        <x:f>IF(AND(ISNUMBER(O248),COUNT(L248:N248)=3),O248+L248-M248-N248,"")</x:f>
      </x:c>
      <x:c r="R248" s="13" t="str">
        <x:f>IF(AND(A248&lt;&gt;"",B248&lt;&gt;"",ISNUMBER(P248),ISNUMBER(Q248)),P248-Q248,"")</x:f>
      </x:c>
      <x:c r="S248" s="13" t="str">
        <x:f>IF(COUNT(H248,J248)=2,J248-H248,"")</x:f>
      </x:c>
      <x:c r="T248" s="13" t="str">
        <x:f>IF(COUNT(I248,K248)=2,K248-I248,"")</x:f>
      </x:c>
      <x:c r="U248" s="10" t="str">
        <x:f>IF(NOT(OR(A248&lt;&gt;"",B248&lt;&gt;"",COUNT(D248:N248)&gt;0)),"",IF(OR(A248="",B248="",COUNT(D248:E248,H248:I248,L248:N248)&lt;&gt;7),"ناقص",IF(OR(MIN(D248:E248,H248:I248,L248:N248)&lt;0,Q248&lt;0),"ورودی نامعتبر",IF(R248&lt;0,"کسری",IF(R248&gt;0,"اضافه","بدون مغایرت")))))</x:f>
      </x:c>
      <x:c r="V248" s="10" t="str">
        <x:f>IF(OR(A248="",B248=""),"",IF(COUNTIFS($A$8:$A$507,A248,$B$8:$B$507,B248)&gt;1,"ثبت تکراری",""))</x:f>
      </x:c>
      <x:c r="W248" s="9"/>
    </x:row>
    <x:row r="249" ht="25" customHeight="1">
      <x:c r="A249" s="11"/>
      <x:c r="B249" s="11"/>
      <x:c r="C249" s="11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3" t="str">
        <x:f>IF(COUNT(D249:E249)=2,SUM(D249:E249),"")</x:f>
      </x:c>
      <x:c r="P249" s="13" t="str">
        <x:f>IF(COUNT(H249:I249)=2,SUM(H249:I249),"")</x:f>
      </x:c>
      <x:c r="Q249" s="13" t="str">
        <x:f>IF(AND(ISNUMBER(O249),COUNT(L249:N249)=3),O249+L249-M249-N249,"")</x:f>
      </x:c>
      <x:c r="R249" s="13" t="str">
        <x:f>IF(AND(A249&lt;&gt;"",B249&lt;&gt;"",ISNUMBER(P249),ISNUMBER(Q249)),P249-Q249,"")</x:f>
      </x:c>
      <x:c r="S249" s="13" t="str">
        <x:f>IF(COUNT(H249,J249)=2,J249-H249,"")</x:f>
      </x:c>
      <x:c r="T249" s="13" t="str">
        <x:f>IF(COUNT(I249,K249)=2,K249-I249,"")</x:f>
      </x:c>
      <x:c r="U249" s="10" t="str">
        <x:f>IF(NOT(OR(A249&lt;&gt;"",B249&lt;&gt;"",COUNT(D249:N249)&gt;0)),"",IF(OR(A249="",B249="",COUNT(D249:E249,H249:I249,L249:N249)&lt;&gt;7),"ناقص",IF(OR(MIN(D249:E249,H249:I249,L249:N249)&lt;0,Q249&lt;0),"ورودی نامعتبر",IF(R249&lt;0,"کسری",IF(R249&gt;0,"اضافه","بدون مغایرت")))))</x:f>
      </x:c>
      <x:c r="V249" s="10" t="str">
        <x:f>IF(OR(A249="",B249=""),"",IF(COUNTIFS($A$8:$A$507,A249,$B$8:$B$507,B249)&gt;1,"ثبت تکراری",""))</x:f>
      </x:c>
      <x:c r="W249" s="9"/>
    </x:row>
    <x:row r="250" ht="25" customHeight="1">
      <x:c r="A250" s="11"/>
      <x:c r="B250" s="11"/>
      <x:c r="C250" s="11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3" t="str">
        <x:f>IF(COUNT(D250:E250)=2,SUM(D250:E250),"")</x:f>
      </x:c>
      <x:c r="P250" s="13" t="str">
        <x:f>IF(COUNT(H250:I250)=2,SUM(H250:I250),"")</x:f>
      </x:c>
      <x:c r="Q250" s="13" t="str">
        <x:f>IF(AND(ISNUMBER(O250),COUNT(L250:N250)=3),O250+L250-M250-N250,"")</x:f>
      </x:c>
      <x:c r="R250" s="13" t="str">
        <x:f>IF(AND(A250&lt;&gt;"",B250&lt;&gt;"",ISNUMBER(P250),ISNUMBER(Q250)),P250-Q250,"")</x:f>
      </x:c>
      <x:c r="S250" s="13" t="str">
        <x:f>IF(COUNT(H250,J250)=2,J250-H250,"")</x:f>
      </x:c>
      <x:c r="T250" s="13" t="str">
        <x:f>IF(COUNT(I250,K250)=2,K250-I250,"")</x:f>
      </x:c>
      <x:c r="U250" s="10" t="str">
        <x:f>IF(NOT(OR(A250&lt;&gt;"",B250&lt;&gt;"",COUNT(D250:N250)&gt;0)),"",IF(OR(A250="",B250="",COUNT(D250:E250,H250:I250,L250:N250)&lt;&gt;7),"ناقص",IF(OR(MIN(D250:E250,H250:I250,L250:N250)&lt;0,Q250&lt;0),"ورودی نامعتبر",IF(R250&lt;0,"کسری",IF(R250&gt;0,"اضافه","بدون مغایرت")))))</x:f>
      </x:c>
      <x:c r="V250" s="10" t="str">
        <x:f>IF(OR(A250="",B250=""),"",IF(COUNTIFS($A$8:$A$507,A250,$B$8:$B$507,B250)&gt;1,"ثبت تکراری",""))</x:f>
      </x:c>
      <x:c r="W250" s="9"/>
    </x:row>
    <x:row r="251" ht="25" customHeight="1">
      <x:c r="A251" s="11"/>
      <x:c r="B251" s="11"/>
      <x:c r="C251" s="11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3" t="str">
        <x:f>IF(COUNT(D251:E251)=2,SUM(D251:E251),"")</x:f>
      </x:c>
      <x:c r="P251" s="13" t="str">
        <x:f>IF(COUNT(H251:I251)=2,SUM(H251:I251),"")</x:f>
      </x:c>
      <x:c r="Q251" s="13" t="str">
        <x:f>IF(AND(ISNUMBER(O251),COUNT(L251:N251)=3),O251+L251-M251-N251,"")</x:f>
      </x:c>
      <x:c r="R251" s="13" t="str">
        <x:f>IF(AND(A251&lt;&gt;"",B251&lt;&gt;"",ISNUMBER(P251),ISNUMBER(Q251)),P251-Q251,"")</x:f>
      </x:c>
      <x:c r="S251" s="13" t="str">
        <x:f>IF(COUNT(H251,J251)=2,J251-H251,"")</x:f>
      </x:c>
      <x:c r="T251" s="13" t="str">
        <x:f>IF(COUNT(I251,K251)=2,K251-I251,"")</x:f>
      </x:c>
      <x:c r="U251" s="10" t="str">
        <x:f>IF(NOT(OR(A251&lt;&gt;"",B251&lt;&gt;"",COUNT(D251:N251)&gt;0)),"",IF(OR(A251="",B251="",COUNT(D251:E251,H251:I251,L251:N251)&lt;&gt;7),"ناقص",IF(OR(MIN(D251:E251,H251:I251,L251:N251)&lt;0,Q251&lt;0),"ورودی نامعتبر",IF(R251&lt;0,"کسری",IF(R251&gt;0,"اضافه","بدون مغایرت")))))</x:f>
      </x:c>
      <x:c r="V251" s="10" t="str">
        <x:f>IF(OR(A251="",B251=""),"",IF(COUNTIFS($A$8:$A$507,A251,$B$8:$B$507,B251)&gt;1,"ثبت تکراری",""))</x:f>
      </x:c>
      <x:c r="W251" s="9"/>
    </x:row>
    <x:row r="252" ht="25" customHeight="1">
      <x:c r="A252" s="11"/>
      <x:c r="B252" s="11"/>
      <x:c r="C252" s="11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3" t="str">
        <x:f>IF(COUNT(D252:E252)=2,SUM(D252:E252),"")</x:f>
      </x:c>
      <x:c r="P252" s="13" t="str">
        <x:f>IF(COUNT(H252:I252)=2,SUM(H252:I252),"")</x:f>
      </x:c>
      <x:c r="Q252" s="13" t="str">
        <x:f>IF(AND(ISNUMBER(O252),COUNT(L252:N252)=3),O252+L252-M252-N252,"")</x:f>
      </x:c>
      <x:c r="R252" s="13" t="str">
        <x:f>IF(AND(A252&lt;&gt;"",B252&lt;&gt;"",ISNUMBER(P252),ISNUMBER(Q252)),P252-Q252,"")</x:f>
      </x:c>
      <x:c r="S252" s="13" t="str">
        <x:f>IF(COUNT(H252,J252)=2,J252-H252,"")</x:f>
      </x:c>
      <x:c r="T252" s="13" t="str">
        <x:f>IF(COUNT(I252,K252)=2,K252-I252,"")</x:f>
      </x:c>
      <x:c r="U252" s="10" t="str">
        <x:f>IF(NOT(OR(A252&lt;&gt;"",B252&lt;&gt;"",COUNT(D252:N252)&gt;0)),"",IF(OR(A252="",B252="",COUNT(D252:E252,H252:I252,L252:N252)&lt;&gt;7),"ناقص",IF(OR(MIN(D252:E252,H252:I252,L252:N252)&lt;0,Q252&lt;0),"ورودی نامعتبر",IF(R252&lt;0,"کسری",IF(R252&gt;0,"اضافه","بدون مغایرت")))))</x:f>
      </x:c>
      <x:c r="V252" s="10" t="str">
        <x:f>IF(OR(A252="",B252=""),"",IF(COUNTIFS($A$8:$A$507,A252,$B$8:$B$507,B252)&gt;1,"ثبت تکراری",""))</x:f>
      </x:c>
      <x:c r="W252" s="9"/>
    </x:row>
    <x:row r="253" ht="25" customHeight="1">
      <x:c r="A253" s="11"/>
      <x:c r="B253" s="11"/>
      <x:c r="C253" s="11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3" t="str">
        <x:f>IF(COUNT(D253:E253)=2,SUM(D253:E253),"")</x:f>
      </x:c>
      <x:c r="P253" s="13" t="str">
        <x:f>IF(COUNT(H253:I253)=2,SUM(H253:I253),"")</x:f>
      </x:c>
      <x:c r="Q253" s="13" t="str">
        <x:f>IF(AND(ISNUMBER(O253),COUNT(L253:N253)=3),O253+L253-M253-N253,"")</x:f>
      </x:c>
      <x:c r="R253" s="13" t="str">
        <x:f>IF(AND(A253&lt;&gt;"",B253&lt;&gt;"",ISNUMBER(P253),ISNUMBER(Q253)),P253-Q253,"")</x:f>
      </x:c>
      <x:c r="S253" s="13" t="str">
        <x:f>IF(COUNT(H253,J253)=2,J253-H253,"")</x:f>
      </x:c>
      <x:c r="T253" s="13" t="str">
        <x:f>IF(COUNT(I253,K253)=2,K253-I253,"")</x:f>
      </x:c>
      <x:c r="U253" s="10" t="str">
        <x:f>IF(NOT(OR(A253&lt;&gt;"",B253&lt;&gt;"",COUNT(D253:N253)&gt;0)),"",IF(OR(A253="",B253="",COUNT(D253:E253,H253:I253,L253:N253)&lt;&gt;7),"ناقص",IF(OR(MIN(D253:E253,H253:I253,L253:N253)&lt;0,Q253&lt;0),"ورودی نامعتبر",IF(R253&lt;0,"کسری",IF(R253&gt;0,"اضافه","بدون مغایرت")))))</x:f>
      </x:c>
      <x:c r="V253" s="10" t="str">
        <x:f>IF(OR(A253="",B253=""),"",IF(COUNTIFS($A$8:$A$507,A253,$B$8:$B$507,B253)&gt;1,"ثبت تکراری",""))</x:f>
      </x:c>
      <x:c r="W253" s="9"/>
    </x:row>
    <x:row r="254" ht="25" customHeight="1">
      <x:c r="A254" s="11"/>
      <x:c r="B254" s="11"/>
      <x:c r="C254" s="11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3" t="str">
        <x:f>IF(COUNT(D254:E254)=2,SUM(D254:E254),"")</x:f>
      </x:c>
      <x:c r="P254" s="13" t="str">
        <x:f>IF(COUNT(H254:I254)=2,SUM(H254:I254),"")</x:f>
      </x:c>
      <x:c r="Q254" s="13" t="str">
        <x:f>IF(AND(ISNUMBER(O254),COUNT(L254:N254)=3),O254+L254-M254-N254,"")</x:f>
      </x:c>
      <x:c r="R254" s="13" t="str">
        <x:f>IF(AND(A254&lt;&gt;"",B254&lt;&gt;"",ISNUMBER(P254),ISNUMBER(Q254)),P254-Q254,"")</x:f>
      </x:c>
      <x:c r="S254" s="13" t="str">
        <x:f>IF(COUNT(H254,J254)=2,J254-H254,"")</x:f>
      </x:c>
      <x:c r="T254" s="13" t="str">
        <x:f>IF(COUNT(I254,K254)=2,K254-I254,"")</x:f>
      </x:c>
      <x:c r="U254" s="10" t="str">
        <x:f>IF(NOT(OR(A254&lt;&gt;"",B254&lt;&gt;"",COUNT(D254:N254)&gt;0)),"",IF(OR(A254="",B254="",COUNT(D254:E254,H254:I254,L254:N254)&lt;&gt;7),"ناقص",IF(OR(MIN(D254:E254,H254:I254,L254:N254)&lt;0,Q254&lt;0),"ورودی نامعتبر",IF(R254&lt;0,"کسری",IF(R254&gt;0,"اضافه","بدون مغایرت")))))</x:f>
      </x:c>
      <x:c r="V254" s="10" t="str">
        <x:f>IF(OR(A254="",B254=""),"",IF(COUNTIFS($A$8:$A$507,A254,$B$8:$B$507,B254)&gt;1,"ثبت تکراری",""))</x:f>
      </x:c>
      <x:c r="W254" s="9"/>
    </x:row>
    <x:row r="255" ht="25" customHeight="1">
      <x:c r="A255" s="11"/>
      <x:c r="B255" s="11"/>
      <x:c r="C255" s="11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3" t="str">
        <x:f>IF(COUNT(D255:E255)=2,SUM(D255:E255),"")</x:f>
      </x:c>
      <x:c r="P255" s="13" t="str">
        <x:f>IF(COUNT(H255:I255)=2,SUM(H255:I255),"")</x:f>
      </x:c>
      <x:c r="Q255" s="13" t="str">
        <x:f>IF(AND(ISNUMBER(O255),COUNT(L255:N255)=3),O255+L255-M255-N255,"")</x:f>
      </x:c>
      <x:c r="R255" s="13" t="str">
        <x:f>IF(AND(A255&lt;&gt;"",B255&lt;&gt;"",ISNUMBER(P255),ISNUMBER(Q255)),P255-Q255,"")</x:f>
      </x:c>
      <x:c r="S255" s="13" t="str">
        <x:f>IF(COUNT(H255,J255)=2,J255-H255,"")</x:f>
      </x:c>
      <x:c r="T255" s="13" t="str">
        <x:f>IF(COUNT(I255,K255)=2,K255-I255,"")</x:f>
      </x:c>
      <x:c r="U255" s="10" t="str">
        <x:f>IF(NOT(OR(A255&lt;&gt;"",B255&lt;&gt;"",COUNT(D255:N255)&gt;0)),"",IF(OR(A255="",B255="",COUNT(D255:E255,H255:I255,L255:N255)&lt;&gt;7),"ناقص",IF(OR(MIN(D255:E255,H255:I255,L255:N255)&lt;0,Q255&lt;0),"ورودی نامعتبر",IF(R255&lt;0,"کسری",IF(R255&gt;0,"اضافه","بدون مغایرت")))))</x:f>
      </x:c>
      <x:c r="V255" s="10" t="str">
        <x:f>IF(OR(A255="",B255=""),"",IF(COUNTIFS($A$8:$A$507,A255,$B$8:$B$507,B255)&gt;1,"ثبت تکراری",""))</x:f>
      </x:c>
      <x:c r="W255" s="9"/>
    </x:row>
    <x:row r="256" ht="25" customHeight="1">
      <x:c r="A256" s="11"/>
      <x:c r="B256" s="11"/>
      <x:c r="C256" s="11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3" t="str">
        <x:f>IF(COUNT(D256:E256)=2,SUM(D256:E256),"")</x:f>
      </x:c>
      <x:c r="P256" s="13" t="str">
        <x:f>IF(COUNT(H256:I256)=2,SUM(H256:I256),"")</x:f>
      </x:c>
      <x:c r="Q256" s="13" t="str">
        <x:f>IF(AND(ISNUMBER(O256),COUNT(L256:N256)=3),O256+L256-M256-N256,"")</x:f>
      </x:c>
      <x:c r="R256" s="13" t="str">
        <x:f>IF(AND(A256&lt;&gt;"",B256&lt;&gt;"",ISNUMBER(P256),ISNUMBER(Q256)),P256-Q256,"")</x:f>
      </x:c>
      <x:c r="S256" s="13" t="str">
        <x:f>IF(COUNT(H256,J256)=2,J256-H256,"")</x:f>
      </x:c>
      <x:c r="T256" s="13" t="str">
        <x:f>IF(COUNT(I256,K256)=2,K256-I256,"")</x:f>
      </x:c>
      <x:c r="U256" s="10" t="str">
        <x:f>IF(NOT(OR(A256&lt;&gt;"",B256&lt;&gt;"",COUNT(D256:N256)&gt;0)),"",IF(OR(A256="",B256="",COUNT(D256:E256,H256:I256,L256:N256)&lt;&gt;7),"ناقص",IF(OR(MIN(D256:E256,H256:I256,L256:N256)&lt;0,Q256&lt;0),"ورودی نامعتبر",IF(R256&lt;0,"کسری",IF(R256&gt;0,"اضافه","بدون مغایرت")))))</x:f>
      </x:c>
      <x:c r="V256" s="10" t="str">
        <x:f>IF(OR(A256="",B256=""),"",IF(COUNTIFS($A$8:$A$507,A256,$B$8:$B$507,B256)&gt;1,"ثبت تکراری",""))</x:f>
      </x:c>
      <x:c r="W256" s="9"/>
    </x:row>
    <x:row r="257" ht="25" customHeight="1">
      <x:c r="A257" s="11"/>
      <x:c r="B257" s="11"/>
      <x:c r="C257" s="11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3" t="str">
        <x:f>IF(COUNT(D257:E257)=2,SUM(D257:E257),"")</x:f>
      </x:c>
      <x:c r="P257" s="13" t="str">
        <x:f>IF(COUNT(H257:I257)=2,SUM(H257:I257),"")</x:f>
      </x:c>
      <x:c r="Q257" s="13" t="str">
        <x:f>IF(AND(ISNUMBER(O257),COUNT(L257:N257)=3),O257+L257-M257-N257,"")</x:f>
      </x:c>
      <x:c r="R257" s="13" t="str">
        <x:f>IF(AND(A257&lt;&gt;"",B257&lt;&gt;"",ISNUMBER(P257),ISNUMBER(Q257)),P257-Q257,"")</x:f>
      </x:c>
      <x:c r="S257" s="13" t="str">
        <x:f>IF(COUNT(H257,J257)=2,J257-H257,"")</x:f>
      </x:c>
      <x:c r="T257" s="13" t="str">
        <x:f>IF(COUNT(I257,K257)=2,K257-I257,"")</x:f>
      </x:c>
      <x:c r="U257" s="10" t="str">
        <x:f>IF(NOT(OR(A257&lt;&gt;"",B257&lt;&gt;"",COUNT(D257:N257)&gt;0)),"",IF(OR(A257="",B257="",COUNT(D257:E257,H257:I257,L257:N257)&lt;&gt;7),"ناقص",IF(OR(MIN(D257:E257,H257:I257,L257:N257)&lt;0,Q257&lt;0),"ورودی نامعتبر",IF(R257&lt;0,"کسری",IF(R257&gt;0,"اضافه","بدون مغایرت")))))</x:f>
      </x:c>
      <x:c r="V257" s="10" t="str">
        <x:f>IF(OR(A257="",B257=""),"",IF(COUNTIFS($A$8:$A$507,A257,$B$8:$B$507,B257)&gt;1,"ثبت تکراری",""))</x:f>
      </x:c>
      <x:c r="W257" s="9"/>
    </x:row>
    <x:row r="258" ht="25" customHeight="1">
      <x:c r="A258" s="11"/>
      <x:c r="B258" s="11"/>
      <x:c r="C258" s="11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3" t="str">
        <x:f>IF(COUNT(D258:E258)=2,SUM(D258:E258),"")</x:f>
      </x:c>
      <x:c r="P258" s="13" t="str">
        <x:f>IF(COUNT(H258:I258)=2,SUM(H258:I258),"")</x:f>
      </x:c>
      <x:c r="Q258" s="13" t="str">
        <x:f>IF(AND(ISNUMBER(O258),COUNT(L258:N258)=3),O258+L258-M258-N258,"")</x:f>
      </x:c>
      <x:c r="R258" s="13" t="str">
        <x:f>IF(AND(A258&lt;&gt;"",B258&lt;&gt;"",ISNUMBER(P258),ISNUMBER(Q258)),P258-Q258,"")</x:f>
      </x:c>
      <x:c r="S258" s="13" t="str">
        <x:f>IF(COUNT(H258,J258)=2,J258-H258,"")</x:f>
      </x:c>
      <x:c r="T258" s="13" t="str">
        <x:f>IF(COUNT(I258,K258)=2,K258-I258,"")</x:f>
      </x:c>
      <x:c r="U258" s="10" t="str">
        <x:f>IF(NOT(OR(A258&lt;&gt;"",B258&lt;&gt;"",COUNT(D258:N258)&gt;0)),"",IF(OR(A258="",B258="",COUNT(D258:E258,H258:I258,L258:N258)&lt;&gt;7),"ناقص",IF(OR(MIN(D258:E258,H258:I258,L258:N258)&lt;0,Q258&lt;0),"ورودی نامعتبر",IF(R258&lt;0,"کسری",IF(R258&gt;0,"اضافه","بدون مغایرت")))))</x:f>
      </x:c>
      <x:c r="V258" s="10" t="str">
        <x:f>IF(OR(A258="",B258=""),"",IF(COUNTIFS($A$8:$A$507,A258,$B$8:$B$507,B258)&gt;1,"ثبت تکراری",""))</x:f>
      </x:c>
      <x:c r="W258" s="9"/>
    </x:row>
    <x:row r="259" ht="25" customHeight="1">
      <x:c r="A259" s="11"/>
      <x:c r="B259" s="11"/>
      <x:c r="C259" s="11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3" t="str">
        <x:f>IF(COUNT(D259:E259)=2,SUM(D259:E259),"")</x:f>
      </x:c>
      <x:c r="P259" s="13" t="str">
        <x:f>IF(COUNT(H259:I259)=2,SUM(H259:I259),"")</x:f>
      </x:c>
      <x:c r="Q259" s="13" t="str">
        <x:f>IF(AND(ISNUMBER(O259),COUNT(L259:N259)=3),O259+L259-M259-N259,"")</x:f>
      </x:c>
      <x:c r="R259" s="13" t="str">
        <x:f>IF(AND(A259&lt;&gt;"",B259&lt;&gt;"",ISNUMBER(P259),ISNUMBER(Q259)),P259-Q259,"")</x:f>
      </x:c>
      <x:c r="S259" s="13" t="str">
        <x:f>IF(COUNT(H259,J259)=2,J259-H259,"")</x:f>
      </x:c>
      <x:c r="T259" s="13" t="str">
        <x:f>IF(COUNT(I259,K259)=2,K259-I259,"")</x:f>
      </x:c>
      <x:c r="U259" s="10" t="str">
        <x:f>IF(NOT(OR(A259&lt;&gt;"",B259&lt;&gt;"",COUNT(D259:N259)&gt;0)),"",IF(OR(A259="",B259="",COUNT(D259:E259,H259:I259,L259:N259)&lt;&gt;7),"ناقص",IF(OR(MIN(D259:E259,H259:I259,L259:N259)&lt;0,Q259&lt;0),"ورودی نامعتبر",IF(R259&lt;0,"کسری",IF(R259&gt;0,"اضافه","بدون مغایرت")))))</x:f>
      </x:c>
      <x:c r="V259" s="10" t="str">
        <x:f>IF(OR(A259="",B259=""),"",IF(COUNTIFS($A$8:$A$507,A259,$B$8:$B$507,B259)&gt;1,"ثبت تکراری",""))</x:f>
      </x:c>
      <x:c r="W259" s="9"/>
    </x:row>
    <x:row r="260" ht="25" customHeight="1">
      <x:c r="A260" s="11"/>
      <x:c r="B260" s="11"/>
      <x:c r="C260" s="11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3" t="str">
        <x:f>IF(COUNT(D260:E260)=2,SUM(D260:E260),"")</x:f>
      </x:c>
      <x:c r="P260" s="13" t="str">
        <x:f>IF(COUNT(H260:I260)=2,SUM(H260:I260),"")</x:f>
      </x:c>
      <x:c r="Q260" s="13" t="str">
        <x:f>IF(AND(ISNUMBER(O260),COUNT(L260:N260)=3),O260+L260-M260-N260,"")</x:f>
      </x:c>
      <x:c r="R260" s="13" t="str">
        <x:f>IF(AND(A260&lt;&gt;"",B260&lt;&gt;"",ISNUMBER(P260),ISNUMBER(Q260)),P260-Q260,"")</x:f>
      </x:c>
      <x:c r="S260" s="13" t="str">
        <x:f>IF(COUNT(H260,J260)=2,J260-H260,"")</x:f>
      </x:c>
      <x:c r="T260" s="13" t="str">
        <x:f>IF(COUNT(I260,K260)=2,K260-I260,"")</x:f>
      </x:c>
      <x:c r="U260" s="10" t="str">
        <x:f>IF(NOT(OR(A260&lt;&gt;"",B260&lt;&gt;"",COUNT(D260:N260)&gt;0)),"",IF(OR(A260="",B260="",COUNT(D260:E260,H260:I260,L260:N260)&lt;&gt;7),"ناقص",IF(OR(MIN(D260:E260,H260:I260,L260:N260)&lt;0,Q260&lt;0),"ورودی نامعتبر",IF(R260&lt;0,"کسری",IF(R260&gt;0,"اضافه","بدون مغایرت")))))</x:f>
      </x:c>
      <x:c r="V260" s="10" t="str">
        <x:f>IF(OR(A260="",B260=""),"",IF(COUNTIFS($A$8:$A$507,A260,$B$8:$B$507,B260)&gt;1,"ثبت تکراری",""))</x:f>
      </x:c>
      <x:c r="W260" s="9"/>
    </x:row>
    <x:row r="261" ht="25" customHeight="1">
      <x:c r="A261" s="11"/>
      <x:c r="B261" s="11"/>
      <x:c r="C261" s="11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3" t="str">
        <x:f>IF(COUNT(D261:E261)=2,SUM(D261:E261),"")</x:f>
      </x:c>
      <x:c r="P261" s="13" t="str">
        <x:f>IF(COUNT(H261:I261)=2,SUM(H261:I261),"")</x:f>
      </x:c>
      <x:c r="Q261" s="13" t="str">
        <x:f>IF(AND(ISNUMBER(O261),COUNT(L261:N261)=3),O261+L261-M261-N261,"")</x:f>
      </x:c>
      <x:c r="R261" s="13" t="str">
        <x:f>IF(AND(A261&lt;&gt;"",B261&lt;&gt;"",ISNUMBER(P261),ISNUMBER(Q261)),P261-Q261,"")</x:f>
      </x:c>
      <x:c r="S261" s="13" t="str">
        <x:f>IF(COUNT(H261,J261)=2,J261-H261,"")</x:f>
      </x:c>
      <x:c r="T261" s="13" t="str">
        <x:f>IF(COUNT(I261,K261)=2,K261-I261,"")</x:f>
      </x:c>
      <x:c r="U261" s="10" t="str">
        <x:f>IF(NOT(OR(A261&lt;&gt;"",B261&lt;&gt;"",COUNT(D261:N261)&gt;0)),"",IF(OR(A261="",B261="",COUNT(D261:E261,H261:I261,L261:N261)&lt;&gt;7),"ناقص",IF(OR(MIN(D261:E261,H261:I261,L261:N261)&lt;0,Q261&lt;0),"ورودی نامعتبر",IF(R261&lt;0,"کسری",IF(R261&gt;0,"اضافه","بدون مغایرت")))))</x:f>
      </x:c>
      <x:c r="V261" s="10" t="str">
        <x:f>IF(OR(A261="",B261=""),"",IF(COUNTIFS($A$8:$A$507,A261,$B$8:$B$507,B261)&gt;1,"ثبت تکراری",""))</x:f>
      </x:c>
      <x:c r="W261" s="9"/>
    </x:row>
    <x:row r="262" ht="25" customHeight="1">
      <x:c r="A262" s="11"/>
      <x:c r="B262" s="11"/>
      <x:c r="C262" s="11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3" t="str">
        <x:f>IF(COUNT(D262:E262)=2,SUM(D262:E262),"")</x:f>
      </x:c>
      <x:c r="P262" s="13" t="str">
        <x:f>IF(COUNT(H262:I262)=2,SUM(H262:I262),"")</x:f>
      </x:c>
      <x:c r="Q262" s="13" t="str">
        <x:f>IF(AND(ISNUMBER(O262),COUNT(L262:N262)=3),O262+L262-M262-N262,"")</x:f>
      </x:c>
      <x:c r="R262" s="13" t="str">
        <x:f>IF(AND(A262&lt;&gt;"",B262&lt;&gt;"",ISNUMBER(P262),ISNUMBER(Q262)),P262-Q262,"")</x:f>
      </x:c>
      <x:c r="S262" s="13" t="str">
        <x:f>IF(COUNT(H262,J262)=2,J262-H262,"")</x:f>
      </x:c>
      <x:c r="T262" s="13" t="str">
        <x:f>IF(COUNT(I262,K262)=2,K262-I262,"")</x:f>
      </x:c>
      <x:c r="U262" s="10" t="str">
        <x:f>IF(NOT(OR(A262&lt;&gt;"",B262&lt;&gt;"",COUNT(D262:N262)&gt;0)),"",IF(OR(A262="",B262="",COUNT(D262:E262,H262:I262,L262:N262)&lt;&gt;7),"ناقص",IF(OR(MIN(D262:E262,H262:I262,L262:N262)&lt;0,Q262&lt;0),"ورودی نامعتبر",IF(R262&lt;0,"کسری",IF(R262&gt;0,"اضافه","بدون مغایرت")))))</x:f>
      </x:c>
      <x:c r="V262" s="10" t="str">
        <x:f>IF(OR(A262="",B262=""),"",IF(COUNTIFS($A$8:$A$507,A262,$B$8:$B$507,B262)&gt;1,"ثبت تکراری",""))</x:f>
      </x:c>
      <x:c r="W262" s="9"/>
    </x:row>
    <x:row r="263" ht="25" customHeight="1">
      <x:c r="A263" s="11"/>
      <x:c r="B263" s="11"/>
      <x:c r="C263" s="11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3" t="str">
        <x:f>IF(COUNT(D263:E263)=2,SUM(D263:E263),"")</x:f>
      </x:c>
      <x:c r="P263" s="13" t="str">
        <x:f>IF(COUNT(H263:I263)=2,SUM(H263:I263),"")</x:f>
      </x:c>
      <x:c r="Q263" s="13" t="str">
        <x:f>IF(AND(ISNUMBER(O263),COUNT(L263:N263)=3),O263+L263-M263-N263,"")</x:f>
      </x:c>
      <x:c r="R263" s="13" t="str">
        <x:f>IF(AND(A263&lt;&gt;"",B263&lt;&gt;"",ISNUMBER(P263),ISNUMBER(Q263)),P263-Q263,"")</x:f>
      </x:c>
      <x:c r="S263" s="13" t="str">
        <x:f>IF(COUNT(H263,J263)=2,J263-H263,"")</x:f>
      </x:c>
      <x:c r="T263" s="13" t="str">
        <x:f>IF(COUNT(I263,K263)=2,K263-I263,"")</x:f>
      </x:c>
      <x:c r="U263" s="10" t="str">
        <x:f>IF(NOT(OR(A263&lt;&gt;"",B263&lt;&gt;"",COUNT(D263:N263)&gt;0)),"",IF(OR(A263="",B263="",COUNT(D263:E263,H263:I263,L263:N263)&lt;&gt;7),"ناقص",IF(OR(MIN(D263:E263,H263:I263,L263:N263)&lt;0,Q263&lt;0),"ورودی نامعتبر",IF(R263&lt;0,"کسری",IF(R263&gt;0,"اضافه","بدون مغایرت")))))</x:f>
      </x:c>
      <x:c r="V263" s="10" t="str">
        <x:f>IF(OR(A263="",B263=""),"",IF(COUNTIFS($A$8:$A$507,A263,$B$8:$B$507,B263)&gt;1,"ثبت تکراری",""))</x:f>
      </x:c>
      <x:c r="W263" s="9"/>
    </x:row>
    <x:row r="264" ht="25" customHeight="1">
      <x:c r="A264" s="11"/>
      <x:c r="B264" s="11"/>
      <x:c r="C264" s="11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3" t="str">
        <x:f>IF(COUNT(D264:E264)=2,SUM(D264:E264),"")</x:f>
      </x:c>
      <x:c r="P264" s="13" t="str">
        <x:f>IF(COUNT(H264:I264)=2,SUM(H264:I264),"")</x:f>
      </x:c>
      <x:c r="Q264" s="13" t="str">
        <x:f>IF(AND(ISNUMBER(O264),COUNT(L264:N264)=3),O264+L264-M264-N264,"")</x:f>
      </x:c>
      <x:c r="R264" s="13" t="str">
        <x:f>IF(AND(A264&lt;&gt;"",B264&lt;&gt;"",ISNUMBER(P264),ISNUMBER(Q264)),P264-Q264,"")</x:f>
      </x:c>
      <x:c r="S264" s="13" t="str">
        <x:f>IF(COUNT(H264,J264)=2,J264-H264,"")</x:f>
      </x:c>
      <x:c r="T264" s="13" t="str">
        <x:f>IF(COUNT(I264,K264)=2,K264-I264,"")</x:f>
      </x:c>
      <x:c r="U264" s="10" t="str">
        <x:f>IF(NOT(OR(A264&lt;&gt;"",B264&lt;&gt;"",COUNT(D264:N264)&gt;0)),"",IF(OR(A264="",B264="",COUNT(D264:E264,H264:I264,L264:N264)&lt;&gt;7),"ناقص",IF(OR(MIN(D264:E264,H264:I264,L264:N264)&lt;0,Q264&lt;0),"ورودی نامعتبر",IF(R264&lt;0,"کسری",IF(R264&gt;0,"اضافه","بدون مغایرت")))))</x:f>
      </x:c>
      <x:c r="V264" s="10" t="str">
        <x:f>IF(OR(A264="",B264=""),"",IF(COUNTIFS($A$8:$A$507,A264,$B$8:$B$507,B264)&gt;1,"ثبت تکراری",""))</x:f>
      </x:c>
      <x:c r="W264" s="9"/>
    </x:row>
    <x:row r="265" ht="25" customHeight="1">
      <x:c r="A265" s="11"/>
      <x:c r="B265" s="11"/>
      <x:c r="C265" s="11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3" t="str">
        <x:f>IF(COUNT(D265:E265)=2,SUM(D265:E265),"")</x:f>
      </x:c>
      <x:c r="P265" s="13" t="str">
        <x:f>IF(COUNT(H265:I265)=2,SUM(H265:I265),"")</x:f>
      </x:c>
      <x:c r="Q265" s="13" t="str">
        <x:f>IF(AND(ISNUMBER(O265),COUNT(L265:N265)=3),O265+L265-M265-N265,"")</x:f>
      </x:c>
      <x:c r="R265" s="13" t="str">
        <x:f>IF(AND(A265&lt;&gt;"",B265&lt;&gt;"",ISNUMBER(P265),ISNUMBER(Q265)),P265-Q265,"")</x:f>
      </x:c>
      <x:c r="S265" s="13" t="str">
        <x:f>IF(COUNT(H265,J265)=2,J265-H265,"")</x:f>
      </x:c>
      <x:c r="T265" s="13" t="str">
        <x:f>IF(COUNT(I265,K265)=2,K265-I265,"")</x:f>
      </x:c>
      <x:c r="U265" s="10" t="str">
        <x:f>IF(NOT(OR(A265&lt;&gt;"",B265&lt;&gt;"",COUNT(D265:N265)&gt;0)),"",IF(OR(A265="",B265="",COUNT(D265:E265,H265:I265,L265:N265)&lt;&gt;7),"ناقص",IF(OR(MIN(D265:E265,H265:I265,L265:N265)&lt;0,Q265&lt;0),"ورودی نامعتبر",IF(R265&lt;0,"کسری",IF(R265&gt;0,"اضافه","بدون مغایرت")))))</x:f>
      </x:c>
      <x:c r="V265" s="10" t="str">
        <x:f>IF(OR(A265="",B265=""),"",IF(COUNTIFS($A$8:$A$507,A265,$B$8:$B$507,B265)&gt;1,"ثبت تکراری",""))</x:f>
      </x:c>
      <x:c r="W265" s="9"/>
    </x:row>
    <x:row r="266" ht="25" customHeight="1">
      <x:c r="A266" s="11"/>
      <x:c r="B266" s="11"/>
      <x:c r="C266" s="11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3" t="str">
        <x:f>IF(COUNT(D266:E266)=2,SUM(D266:E266),"")</x:f>
      </x:c>
      <x:c r="P266" s="13" t="str">
        <x:f>IF(COUNT(H266:I266)=2,SUM(H266:I266),"")</x:f>
      </x:c>
      <x:c r="Q266" s="13" t="str">
        <x:f>IF(AND(ISNUMBER(O266),COUNT(L266:N266)=3),O266+L266-M266-N266,"")</x:f>
      </x:c>
      <x:c r="R266" s="13" t="str">
        <x:f>IF(AND(A266&lt;&gt;"",B266&lt;&gt;"",ISNUMBER(P266),ISNUMBER(Q266)),P266-Q266,"")</x:f>
      </x:c>
      <x:c r="S266" s="13" t="str">
        <x:f>IF(COUNT(H266,J266)=2,J266-H266,"")</x:f>
      </x:c>
      <x:c r="T266" s="13" t="str">
        <x:f>IF(COUNT(I266,K266)=2,K266-I266,"")</x:f>
      </x:c>
      <x:c r="U266" s="10" t="str">
        <x:f>IF(NOT(OR(A266&lt;&gt;"",B266&lt;&gt;"",COUNT(D266:N266)&gt;0)),"",IF(OR(A266="",B266="",COUNT(D266:E266,H266:I266,L266:N266)&lt;&gt;7),"ناقص",IF(OR(MIN(D266:E266,H266:I266,L266:N266)&lt;0,Q266&lt;0),"ورودی نامعتبر",IF(R266&lt;0,"کسری",IF(R266&gt;0,"اضافه","بدون مغایرت")))))</x:f>
      </x:c>
      <x:c r="V266" s="10" t="str">
        <x:f>IF(OR(A266="",B266=""),"",IF(COUNTIFS($A$8:$A$507,A266,$B$8:$B$507,B266)&gt;1,"ثبت تکراری",""))</x:f>
      </x:c>
      <x:c r="W266" s="9"/>
    </x:row>
    <x:row r="267" ht="25" customHeight="1">
      <x:c r="A267" s="11"/>
      <x:c r="B267" s="11"/>
      <x:c r="C267" s="11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3" t="str">
        <x:f>IF(COUNT(D267:E267)=2,SUM(D267:E267),"")</x:f>
      </x:c>
      <x:c r="P267" s="13" t="str">
        <x:f>IF(COUNT(H267:I267)=2,SUM(H267:I267),"")</x:f>
      </x:c>
      <x:c r="Q267" s="13" t="str">
        <x:f>IF(AND(ISNUMBER(O267),COUNT(L267:N267)=3),O267+L267-M267-N267,"")</x:f>
      </x:c>
      <x:c r="R267" s="13" t="str">
        <x:f>IF(AND(A267&lt;&gt;"",B267&lt;&gt;"",ISNUMBER(P267),ISNUMBER(Q267)),P267-Q267,"")</x:f>
      </x:c>
      <x:c r="S267" s="13" t="str">
        <x:f>IF(COUNT(H267,J267)=2,J267-H267,"")</x:f>
      </x:c>
      <x:c r="T267" s="13" t="str">
        <x:f>IF(COUNT(I267,K267)=2,K267-I267,"")</x:f>
      </x:c>
      <x:c r="U267" s="10" t="str">
        <x:f>IF(NOT(OR(A267&lt;&gt;"",B267&lt;&gt;"",COUNT(D267:N267)&gt;0)),"",IF(OR(A267="",B267="",COUNT(D267:E267,H267:I267,L267:N267)&lt;&gt;7),"ناقص",IF(OR(MIN(D267:E267,H267:I267,L267:N267)&lt;0,Q267&lt;0),"ورودی نامعتبر",IF(R267&lt;0,"کسری",IF(R267&gt;0,"اضافه","بدون مغایرت")))))</x:f>
      </x:c>
      <x:c r="V267" s="10" t="str">
        <x:f>IF(OR(A267="",B267=""),"",IF(COUNTIFS($A$8:$A$507,A267,$B$8:$B$507,B267)&gt;1,"ثبت تکراری",""))</x:f>
      </x:c>
      <x:c r="W267" s="9"/>
    </x:row>
    <x:row r="268" ht="25" customHeight="1">
      <x:c r="A268" s="11"/>
      <x:c r="B268" s="11"/>
      <x:c r="C268" s="11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3" t="str">
        <x:f>IF(COUNT(D268:E268)=2,SUM(D268:E268),"")</x:f>
      </x:c>
      <x:c r="P268" s="13" t="str">
        <x:f>IF(COUNT(H268:I268)=2,SUM(H268:I268),"")</x:f>
      </x:c>
      <x:c r="Q268" s="13" t="str">
        <x:f>IF(AND(ISNUMBER(O268),COUNT(L268:N268)=3),O268+L268-M268-N268,"")</x:f>
      </x:c>
      <x:c r="R268" s="13" t="str">
        <x:f>IF(AND(A268&lt;&gt;"",B268&lt;&gt;"",ISNUMBER(P268),ISNUMBER(Q268)),P268-Q268,"")</x:f>
      </x:c>
      <x:c r="S268" s="13" t="str">
        <x:f>IF(COUNT(H268,J268)=2,J268-H268,"")</x:f>
      </x:c>
      <x:c r="T268" s="13" t="str">
        <x:f>IF(COUNT(I268,K268)=2,K268-I268,"")</x:f>
      </x:c>
      <x:c r="U268" s="10" t="str">
        <x:f>IF(NOT(OR(A268&lt;&gt;"",B268&lt;&gt;"",COUNT(D268:N268)&gt;0)),"",IF(OR(A268="",B268="",COUNT(D268:E268,H268:I268,L268:N268)&lt;&gt;7),"ناقص",IF(OR(MIN(D268:E268,H268:I268,L268:N268)&lt;0,Q268&lt;0),"ورودی نامعتبر",IF(R268&lt;0,"کسری",IF(R268&gt;0,"اضافه","بدون مغایرت")))))</x:f>
      </x:c>
      <x:c r="V268" s="10" t="str">
        <x:f>IF(OR(A268="",B268=""),"",IF(COUNTIFS($A$8:$A$507,A268,$B$8:$B$507,B268)&gt;1,"ثبت تکراری",""))</x:f>
      </x:c>
      <x:c r="W268" s="9"/>
    </x:row>
    <x:row r="269" ht="25" customHeight="1">
      <x:c r="A269" s="11"/>
      <x:c r="B269" s="11"/>
      <x:c r="C269" s="11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3" t="str">
        <x:f>IF(COUNT(D269:E269)=2,SUM(D269:E269),"")</x:f>
      </x:c>
      <x:c r="P269" s="13" t="str">
        <x:f>IF(COUNT(H269:I269)=2,SUM(H269:I269),"")</x:f>
      </x:c>
      <x:c r="Q269" s="13" t="str">
        <x:f>IF(AND(ISNUMBER(O269),COUNT(L269:N269)=3),O269+L269-M269-N269,"")</x:f>
      </x:c>
      <x:c r="R269" s="13" t="str">
        <x:f>IF(AND(A269&lt;&gt;"",B269&lt;&gt;"",ISNUMBER(P269),ISNUMBER(Q269)),P269-Q269,"")</x:f>
      </x:c>
      <x:c r="S269" s="13" t="str">
        <x:f>IF(COUNT(H269,J269)=2,J269-H269,"")</x:f>
      </x:c>
      <x:c r="T269" s="13" t="str">
        <x:f>IF(COUNT(I269,K269)=2,K269-I269,"")</x:f>
      </x:c>
      <x:c r="U269" s="10" t="str">
        <x:f>IF(NOT(OR(A269&lt;&gt;"",B269&lt;&gt;"",COUNT(D269:N269)&gt;0)),"",IF(OR(A269="",B269="",COUNT(D269:E269,H269:I269,L269:N269)&lt;&gt;7),"ناقص",IF(OR(MIN(D269:E269,H269:I269,L269:N269)&lt;0,Q269&lt;0),"ورودی نامعتبر",IF(R269&lt;0,"کسری",IF(R269&gt;0,"اضافه","بدون مغایرت")))))</x:f>
      </x:c>
      <x:c r="V269" s="10" t="str">
        <x:f>IF(OR(A269="",B269=""),"",IF(COUNTIFS($A$8:$A$507,A269,$B$8:$B$507,B269)&gt;1,"ثبت تکراری",""))</x:f>
      </x:c>
      <x:c r="W269" s="9"/>
    </x:row>
    <x:row r="270" ht="25" customHeight="1">
      <x:c r="A270" s="11"/>
      <x:c r="B270" s="11"/>
      <x:c r="C270" s="11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3" t="str">
        <x:f>IF(COUNT(D270:E270)=2,SUM(D270:E270),"")</x:f>
      </x:c>
      <x:c r="P270" s="13" t="str">
        <x:f>IF(COUNT(H270:I270)=2,SUM(H270:I270),"")</x:f>
      </x:c>
      <x:c r="Q270" s="13" t="str">
        <x:f>IF(AND(ISNUMBER(O270),COUNT(L270:N270)=3),O270+L270-M270-N270,"")</x:f>
      </x:c>
      <x:c r="R270" s="13" t="str">
        <x:f>IF(AND(A270&lt;&gt;"",B270&lt;&gt;"",ISNUMBER(P270),ISNUMBER(Q270)),P270-Q270,"")</x:f>
      </x:c>
      <x:c r="S270" s="13" t="str">
        <x:f>IF(COUNT(H270,J270)=2,J270-H270,"")</x:f>
      </x:c>
      <x:c r="T270" s="13" t="str">
        <x:f>IF(COUNT(I270,K270)=2,K270-I270,"")</x:f>
      </x:c>
      <x:c r="U270" s="10" t="str">
        <x:f>IF(NOT(OR(A270&lt;&gt;"",B270&lt;&gt;"",COUNT(D270:N270)&gt;0)),"",IF(OR(A270="",B270="",COUNT(D270:E270,H270:I270,L270:N270)&lt;&gt;7),"ناقص",IF(OR(MIN(D270:E270,H270:I270,L270:N270)&lt;0,Q270&lt;0),"ورودی نامعتبر",IF(R270&lt;0,"کسری",IF(R270&gt;0,"اضافه","بدون مغایرت")))))</x:f>
      </x:c>
      <x:c r="V270" s="10" t="str">
        <x:f>IF(OR(A270="",B270=""),"",IF(COUNTIFS($A$8:$A$507,A270,$B$8:$B$507,B270)&gt;1,"ثبت تکراری",""))</x:f>
      </x:c>
      <x:c r="W270" s="9"/>
    </x:row>
    <x:row r="271" ht="25" customHeight="1">
      <x:c r="A271" s="11"/>
      <x:c r="B271" s="11"/>
      <x:c r="C271" s="11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3" t="str">
        <x:f>IF(COUNT(D271:E271)=2,SUM(D271:E271),"")</x:f>
      </x:c>
      <x:c r="P271" s="13" t="str">
        <x:f>IF(COUNT(H271:I271)=2,SUM(H271:I271),"")</x:f>
      </x:c>
      <x:c r="Q271" s="13" t="str">
        <x:f>IF(AND(ISNUMBER(O271),COUNT(L271:N271)=3),O271+L271-M271-N271,"")</x:f>
      </x:c>
      <x:c r="R271" s="13" t="str">
        <x:f>IF(AND(A271&lt;&gt;"",B271&lt;&gt;"",ISNUMBER(P271),ISNUMBER(Q271)),P271-Q271,"")</x:f>
      </x:c>
      <x:c r="S271" s="13" t="str">
        <x:f>IF(COUNT(H271,J271)=2,J271-H271,"")</x:f>
      </x:c>
      <x:c r="T271" s="13" t="str">
        <x:f>IF(COUNT(I271,K271)=2,K271-I271,"")</x:f>
      </x:c>
      <x:c r="U271" s="10" t="str">
        <x:f>IF(NOT(OR(A271&lt;&gt;"",B271&lt;&gt;"",COUNT(D271:N271)&gt;0)),"",IF(OR(A271="",B271="",COUNT(D271:E271,H271:I271,L271:N271)&lt;&gt;7),"ناقص",IF(OR(MIN(D271:E271,H271:I271,L271:N271)&lt;0,Q271&lt;0),"ورودی نامعتبر",IF(R271&lt;0,"کسری",IF(R271&gt;0,"اضافه","بدون مغایرت")))))</x:f>
      </x:c>
      <x:c r="V271" s="10" t="str">
        <x:f>IF(OR(A271="",B271=""),"",IF(COUNTIFS($A$8:$A$507,A271,$B$8:$B$507,B271)&gt;1,"ثبت تکراری",""))</x:f>
      </x:c>
      <x:c r="W271" s="9"/>
    </x:row>
    <x:row r="272" ht="25" customHeight="1">
      <x:c r="A272" s="11"/>
      <x:c r="B272" s="11"/>
      <x:c r="C272" s="11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3" t="str">
        <x:f>IF(COUNT(D272:E272)=2,SUM(D272:E272),"")</x:f>
      </x:c>
      <x:c r="P272" s="13" t="str">
        <x:f>IF(COUNT(H272:I272)=2,SUM(H272:I272),"")</x:f>
      </x:c>
      <x:c r="Q272" s="13" t="str">
        <x:f>IF(AND(ISNUMBER(O272),COUNT(L272:N272)=3),O272+L272-M272-N272,"")</x:f>
      </x:c>
      <x:c r="R272" s="13" t="str">
        <x:f>IF(AND(A272&lt;&gt;"",B272&lt;&gt;"",ISNUMBER(P272),ISNUMBER(Q272)),P272-Q272,"")</x:f>
      </x:c>
      <x:c r="S272" s="13" t="str">
        <x:f>IF(COUNT(H272,J272)=2,J272-H272,"")</x:f>
      </x:c>
      <x:c r="T272" s="13" t="str">
        <x:f>IF(COUNT(I272,K272)=2,K272-I272,"")</x:f>
      </x:c>
      <x:c r="U272" s="10" t="str">
        <x:f>IF(NOT(OR(A272&lt;&gt;"",B272&lt;&gt;"",COUNT(D272:N272)&gt;0)),"",IF(OR(A272="",B272="",COUNT(D272:E272,H272:I272,L272:N272)&lt;&gt;7),"ناقص",IF(OR(MIN(D272:E272,H272:I272,L272:N272)&lt;0,Q272&lt;0),"ورودی نامعتبر",IF(R272&lt;0,"کسری",IF(R272&gt;0,"اضافه","بدون مغایرت")))))</x:f>
      </x:c>
      <x:c r="V272" s="10" t="str">
        <x:f>IF(OR(A272="",B272=""),"",IF(COUNTIFS($A$8:$A$507,A272,$B$8:$B$507,B272)&gt;1,"ثبت تکراری",""))</x:f>
      </x:c>
      <x:c r="W272" s="9"/>
    </x:row>
    <x:row r="273" ht="25" customHeight="1">
      <x:c r="A273" s="11"/>
      <x:c r="B273" s="11"/>
      <x:c r="C273" s="11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3" t="str">
        <x:f>IF(COUNT(D273:E273)=2,SUM(D273:E273),"")</x:f>
      </x:c>
      <x:c r="P273" s="13" t="str">
        <x:f>IF(COUNT(H273:I273)=2,SUM(H273:I273),"")</x:f>
      </x:c>
      <x:c r="Q273" s="13" t="str">
        <x:f>IF(AND(ISNUMBER(O273),COUNT(L273:N273)=3),O273+L273-M273-N273,"")</x:f>
      </x:c>
      <x:c r="R273" s="13" t="str">
        <x:f>IF(AND(A273&lt;&gt;"",B273&lt;&gt;"",ISNUMBER(P273),ISNUMBER(Q273)),P273-Q273,"")</x:f>
      </x:c>
      <x:c r="S273" s="13" t="str">
        <x:f>IF(COUNT(H273,J273)=2,J273-H273,"")</x:f>
      </x:c>
      <x:c r="T273" s="13" t="str">
        <x:f>IF(COUNT(I273,K273)=2,K273-I273,"")</x:f>
      </x:c>
      <x:c r="U273" s="10" t="str">
        <x:f>IF(NOT(OR(A273&lt;&gt;"",B273&lt;&gt;"",COUNT(D273:N273)&gt;0)),"",IF(OR(A273="",B273="",COUNT(D273:E273,H273:I273,L273:N273)&lt;&gt;7),"ناقص",IF(OR(MIN(D273:E273,H273:I273,L273:N273)&lt;0,Q273&lt;0),"ورودی نامعتبر",IF(R273&lt;0,"کسری",IF(R273&gt;0,"اضافه","بدون مغایرت")))))</x:f>
      </x:c>
      <x:c r="V273" s="10" t="str">
        <x:f>IF(OR(A273="",B273=""),"",IF(COUNTIFS($A$8:$A$507,A273,$B$8:$B$507,B273)&gt;1,"ثبت تکراری",""))</x:f>
      </x:c>
      <x:c r="W273" s="9"/>
    </x:row>
    <x:row r="274" ht="25" customHeight="1">
      <x:c r="A274" s="11"/>
      <x:c r="B274" s="11"/>
      <x:c r="C274" s="11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3" t="str">
        <x:f>IF(COUNT(D274:E274)=2,SUM(D274:E274),"")</x:f>
      </x:c>
      <x:c r="P274" s="13" t="str">
        <x:f>IF(COUNT(H274:I274)=2,SUM(H274:I274),"")</x:f>
      </x:c>
      <x:c r="Q274" s="13" t="str">
        <x:f>IF(AND(ISNUMBER(O274),COUNT(L274:N274)=3),O274+L274-M274-N274,"")</x:f>
      </x:c>
      <x:c r="R274" s="13" t="str">
        <x:f>IF(AND(A274&lt;&gt;"",B274&lt;&gt;"",ISNUMBER(P274),ISNUMBER(Q274)),P274-Q274,"")</x:f>
      </x:c>
      <x:c r="S274" s="13" t="str">
        <x:f>IF(COUNT(H274,J274)=2,J274-H274,"")</x:f>
      </x:c>
      <x:c r="T274" s="13" t="str">
        <x:f>IF(COUNT(I274,K274)=2,K274-I274,"")</x:f>
      </x:c>
      <x:c r="U274" s="10" t="str">
        <x:f>IF(NOT(OR(A274&lt;&gt;"",B274&lt;&gt;"",COUNT(D274:N274)&gt;0)),"",IF(OR(A274="",B274="",COUNT(D274:E274,H274:I274,L274:N274)&lt;&gt;7),"ناقص",IF(OR(MIN(D274:E274,H274:I274,L274:N274)&lt;0,Q274&lt;0),"ورودی نامعتبر",IF(R274&lt;0,"کسری",IF(R274&gt;0,"اضافه","بدون مغایرت")))))</x:f>
      </x:c>
      <x:c r="V274" s="10" t="str">
        <x:f>IF(OR(A274="",B274=""),"",IF(COUNTIFS($A$8:$A$507,A274,$B$8:$B$507,B274)&gt;1,"ثبت تکراری",""))</x:f>
      </x:c>
      <x:c r="W274" s="9"/>
    </x:row>
    <x:row r="275" ht="25" customHeight="1">
      <x:c r="A275" s="11"/>
      <x:c r="B275" s="11"/>
      <x:c r="C275" s="11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3" t="str">
        <x:f>IF(COUNT(D275:E275)=2,SUM(D275:E275),"")</x:f>
      </x:c>
      <x:c r="P275" s="13" t="str">
        <x:f>IF(COUNT(H275:I275)=2,SUM(H275:I275),"")</x:f>
      </x:c>
      <x:c r="Q275" s="13" t="str">
        <x:f>IF(AND(ISNUMBER(O275),COUNT(L275:N275)=3),O275+L275-M275-N275,"")</x:f>
      </x:c>
      <x:c r="R275" s="13" t="str">
        <x:f>IF(AND(A275&lt;&gt;"",B275&lt;&gt;"",ISNUMBER(P275),ISNUMBER(Q275)),P275-Q275,"")</x:f>
      </x:c>
      <x:c r="S275" s="13" t="str">
        <x:f>IF(COUNT(H275,J275)=2,J275-H275,"")</x:f>
      </x:c>
      <x:c r="T275" s="13" t="str">
        <x:f>IF(COUNT(I275,K275)=2,K275-I275,"")</x:f>
      </x:c>
      <x:c r="U275" s="10" t="str">
        <x:f>IF(NOT(OR(A275&lt;&gt;"",B275&lt;&gt;"",COUNT(D275:N275)&gt;0)),"",IF(OR(A275="",B275="",COUNT(D275:E275,H275:I275,L275:N275)&lt;&gt;7),"ناقص",IF(OR(MIN(D275:E275,H275:I275,L275:N275)&lt;0,Q275&lt;0),"ورودی نامعتبر",IF(R275&lt;0,"کسری",IF(R275&gt;0,"اضافه","بدون مغایرت")))))</x:f>
      </x:c>
      <x:c r="V275" s="10" t="str">
        <x:f>IF(OR(A275="",B275=""),"",IF(COUNTIFS($A$8:$A$507,A275,$B$8:$B$507,B275)&gt;1,"ثبت تکراری",""))</x:f>
      </x:c>
      <x:c r="W275" s="9"/>
    </x:row>
    <x:row r="276" ht="25" customHeight="1">
      <x:c r="A276" s="11"/>
      <x:c r="B276" s="11"/>
      <x:c r="C276" s="11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3" t="str">
        <x:f>IF(COUNT(D276:E276)=2,SUM(D276:E276),"")</x:f>
      </x:c>
      <x:c r="P276" s="13" t="str">
        <x:f>IF(COUNT(H276:I276)=2,SUM(H276:I276),"")</x:f>
      </x:c>
      <x:c r="Q276" s="13" t="str">
        <x:f>IF(AND(ISNUMBER(O276),COUNT(L276:N276)=3),O276+L276-M276-N276,"")</x:f>
      </x:c>
      <x:c r="R276" s="13" t="str">
        <x:f>IF(AND(A276&lt;&gt;"",B276&lt;&gt;"",ISNUMBER(P276),ISNUMBER(Q276)),P276-Q276,"")</x:f>
      </x:c>
      <x:c r="S276" s="13" t="str">
        <x:f>IF(COUNT(H276,J276)=2,J276-H276,"")</x:f>
      </x:c>
      <x:c r="T276" s="13" t="str">
        <x:f>IF(COUNT(I276,K276)=2,K276-I276,"")</x:f>
      </x:c>
      <x:c r="U276" s="10" t="str">
        <x:f>IF(NOT(OR(A276&lt;&gt;"",B276&lt;&gt;"",COUNT(D276:N276)&gt;0)),"",IF(OR(A276="",B276="",COUNT(D276:E276,H276:I276,L276:N276)&lt;&gt;7),"ناقص",IF(OR(MIN(D276:E276,H276:I276,L276:N276)&lt;0,Q276&lt;0),"ورودی نامعتبر",IF(R276&lt;0,"کسری",IF(R276&gt;0,"اضافه","بدون مغایرت")))))</x:f>
      </x:c>
      <x:c r="V276" s="10" t="str">
        <x:f>IF(OR(A276="",B276=""),"",IF(COUNTIFS($A$8:$A$507,A276,$B$8:$B$507,B276)&gt;1,"ثبت تکراری",""))</x:f>
      </x:c>
      <x:c r="W276" s="9"/>
    </x:row>
    <x:row r="277" ht="25" customHeight="1">
      <x:c r="A277" s="11"/>
      <x:c r="B277" s="11"/>
      <x:c r="C277" s="11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3" t="str">
        <x:f>IF(COUNT(D277:E277)=2,SUM(D277:E277),"")</x:f>
      </x:c>
      <x:c r="P277" s="13" t="str">
        <x:f>IF(COUNT(H277:I277)=2,SUM(H277:I277),"")</x:f>
      </x:c>
      <x:c r="Q277" s="13" t="str">
        <x:f>IF(AND(ISNUMBER(O277),COUNT(L277:N277)=3),O277+L277-M277-N277,"")</x:f>
      </x:c>
      <x:c r="R277" s="13" t="str">
        <x:f>IF(AND(A277&lt;&gt;"",B277&lt;&gt;"",ISNUMBER(P277),ISNUMBER(Q277)),P277-Q277,"")</x:f>
      </x:c>
      <x:c r="S277" s="13" t="str">
        <x:f>IF(COUNT(H277,J277)=2,J277-H277,"")</x:f>
      </x:c>
      <x:c r="T277" s="13" t="str">
        <x:f>IF(COUNT(I277,K277)=2,K277-I277,"")</x:f>
      </x:c>
      <x:c r="U277" s="10" t="str">
        <x:f>IF(NOT(OR(A277&lt;&gt;"",B277&lt;&gt;"",COUNT(D277:N277)&gt;0)),"",IF(OR(A277="",B277="",COUNT(D277:E277,H277:I277,L277:N277)&lt;&gt;7),"ناقص",IF(OR(MIN(D277:E277,H277:I277,L277:N277)&lt;0,Q277&lt;0),"ورودی نامعتبر",IF(R277&lt;0,"کسری",IF(R277&gt;0,"اضافه","بدون مغایرت")))))</x:f>
      </x:c>
      <x:c r="V277" s="10" t="str">
        <x:f>IF(OR(A277="",B277=""),"",IF(COUNTIFS($A$8:$A$507,A277,$B$8:$B$507,B277)&gt;1,"ثبت تکراری",""))</x:f>
      </x:c>
      <x:c r="W277" s="9"/>
    </x:row>
    <x:row r="278" ht="25" customHeight="1">
      <x:c r="A278" s="11"/>
      <x:c r="B278" s="11"/>
      <x:c r="C278" s="11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3" t="str">
        <x:f>IF(COUNT(D278:E278)=2,SUM(D278:E278),"")</x:f>
      </x:c>
      <x:c r="P278" s="13" t="str">
        <x:f>IF(COUNT(H278:I278)=2,SUM(H278:I278),"")</x:f>
      </x:c>
      <x:c r="Q278" s="13" t="str">
        <x:f>IF(AND(ISNUMBER(O278),COUNT(L278:N278)=3),O278+L278-M278-N278,"")</x:f>
      </x:c>
      <x:c r="R278" s="13" t="str">
        <x:f>IF(AND(A278&lt;&gt;"",B278&lt;&gt;"",ISNUMBER(P278),ISNUMBER(Q278)),P278-Q278,"")</x:f>
      </x:c>
      <x:c r="S278" s="13" t="str">
        <x:f>IF(COUNT(H278,J278)=2,J278-H278,"")</x:f>
      </x:c>
      <x:c r="T278" s="13" t="str">
        <x:f>IF(COUNT(I278,K278)=2,K278-I278,"")</x:f>
      </x:c>
      <x:c r="U278" s="10" t="str">
        <x:f>IF(NOT(OR(A278&lt;&gt;"",B278&lt;&gt;"",COUNT(D278:N278)&gt;0)),"",IF(OR(A278="",B278="",COUNT(D278:E278,H278:I278,L278:N278)&lt;&gt;7),"ناقص",IF(OR(MIN(D278:E278,H278:I278,L278:N278)&lt;0,Q278&lt;0),"ورودی نامعتبر",IF(R278&lt;0,"کسری",IF(R278&gt;0,"اضافه","بدون مغایرت")))))</x:f>
      </x:c>
      <x:c r="V278" s="10" t="str">
        <x:f>IF(OR(A278="",B278=""),"",IF(COUNTIFS($A$8:$A$507,A278,$B$8:$B$507,B278)&gt;1,"ثبت تکراری",""))</x:f>
      </x:c>
      <x:c r="W278" s="9"/>
    </x:row>
    <x:row r="279" ht="25" customHeight="1">
      <x:c r="A279" s="11"/>
      <x:c r="B279" s="11"/>
      <x:c r="C279" s="11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3" t="str">
        <x:f>IF(COUNT(D279:E279)=2,SUM(D279:E279),"")</x:f>
      </x:c>
      <x:c r="P279" s="13" t="str">
        <x:f>IF(COUNT(H279:I279)=2,SUM(H279:I279),"")</x:f>
      </x:c>
      <x:c r="Q279" s="13" t="str">
        <x:f>IF(AND(ISNUMBER(O279),COUNT(L279:N279)=3),O279+L279-M279-N279,"")</x:f>
      </x:c>
      <x:c r="R279" s="13" t="str">
        <x:f>IF(AND(A279&lt;&gt;"",B279&lt;&gt;"",ISNUMBER(P279),ISNUMBER(Q279)),P279-Q279,"")</x:f>
      </x:c>
      <x:c r="S279" s="13" t="str">
        <x:f>IF(COUNT(H279,J279)=2,J279-H279,"")</x:f>
      </x:c>
      <x:c r="T279" s="13" t="str">
        <x:f>IF(COUNT(I279,K279)=2,K279-I279,"")</x:f>
      </x:c>
      <x:c r="U279" s="10" t="str">
        <x:f>IF(NOT(OR(A279&lt;&gt;"",B279&lt;&gt;"",COUNT(D279:N279)&gt;0)),"",IF(OR(A279="",B279="",COUNT(D279:E279,H279:I279,L279:N279)&lt;&gt;7),"ناقص",IF(OR(MIN(D279:E279,H279:I279,L279:N279)&lt;0,Q279&lt;0),"ورودی نامعتبر",IF(R279&lt;0,"کسری",IF(R279&gt;0,"اضافه","بدون مغایرت")))))</x:f>
      </x:c>
      <x:c r="V279" s="10" t="str">
        <x:f>IF(OR(A279="",B279=""),"",IF(COUNTIFS($A$8:$A$507,A279,$B$8:$B$507,B279)&gt;1,"ثبت تکراری",""))</x:f>
      </x:c>
      <x:c r="W279" s="9"/>
    </x:row>
    <x:row r="280" ht="25" customHeight="1">
      <x:c r="A280" s="11"/>
      <x:c r="B280" s="11"/>
      <x:c r="C280" s="11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3" t="str">
        <x:f>IF(COUNT(D280:E280)=2,SUM(D280:E280),"")</x:f>
      </x:c>
      <x:c r="P280" s="13" t="str">
        <x:f>IF(COUNT(H280:I280)=2,SUM(H280:I280),"")</x:f>
      </x:c>
      <x:c r="Q280" s="13" t="str">
        <x:f>IF(AND(ISNUMBER(O280),COUNT(L280:N280)=3),O280+L280-M280-N280,"")</x:f>
      </x:c>
      <x:c r="R280" s="13" t="str">
        <x:f>IF(AND(A280&lt;&gt;"",B280&lt;&gt;"",ISNUMBER(P280),ISNUMBER(Q280)),P280-Q280,"")</x:f>
      </x:c>
      <x:c r="S280" s="13" t="str">
        <x:f>IF(COUNT(H280,J280)=2,J280-H280,"")</x:f>
      </x:c>
      <x:c r="T280" s="13" t="str">
        <x:f>IF(COUNT(I280,K280)=2,K280-I280,"")</x:f>
      </x:c>
      <x:c r="U280" s="10" t="str">
        <x:f>IF(NOT(OR(A280&lt;&gt;"",B280&lt;&gt;"",COUNT(D280:N280)&gt;0)),"",IF(OR(A280="",B280="",COUNT(D280:E280,H280:I280,L280:N280)&lt;&gt;7),"ناقص",IF(OR(MIN(D280:E280,H280:I280,L280:N280)&lt;0,Q280&lt;0),"ورودی نامعتبر",IF(R280&lt;0,"کسری",IF(R280&gt;0,"اضافه","بدون مغایرت")))))</x:f>
      </x:c>
      <x:c r="V280" s="10" t="str">
        <x:f>IF(OR(A280="",B280=""),"",IF(COUNTIFS($A$8:$A$507,A280,$B$8:$B$507,B280)&gt;1,"ثبت تکراری",""))</x:f>
      </x:c>
      <x:c r="W280" s="9"/>
    </x:row>
    <x:row r="281" ht="25" customHeight="1">
      <x:c r="A281" s="11"/>
      <x:c r="B281" s="11"/>
      <x:c r="C281" s="11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3" t="str">
        <x:f>IF(COUNT(D281:E281)=2,SUM(D281:E281),"")</x:f>
      </x:c>
      <x:c r="P281" s="13" t="str">
        <x:f>IF(COUNT(H281:I281)=2,SUM(H281:I281),"")</x:f>
      </x:c>
      <x:c r="Q281" s="13" t="str">
        <x:f>IF(AND(ISNUMBER(O281),COUNT(L281:N281)=3),O281+L281-M281-N281,"")</x:f>
      </x:c>
      <x:c r="R281" s="13" t="str">
        <x:f>IF(AND(A281&lt;&gt;"",B281&lt;&gt;"",ISNUMBER(P281),ISNUMBER(Q281)),P281-Q281,"")</x:f>
      </x:c>
      <x:c r="S281" s="13" t="str">
        <x:f>IF(COUNT(H281,J281)=2,J281-H281,"")</x:f>
      </x:c>
      <x:c r="T281" s="13" t="str">
        <x:f>IF(COUNT(I281,K281)=2,K281-I281,"")</x:f>
      </x:c>
      <x:c r="U281" s="10" t="str">
        <x:f>IF(NOT(OR(A281&lt;&gt;"",B281&lt;&gt;"",COUNT(D281:N281)&gt;0)),"",IF(OR(A281="",B281="",COUNT(D281:E281,H281:I281,L281:N281)&lt;&gt;7),"ناقص",IF(OR(MIN(D281:E281,H281:I281,L281:N281)&lt;0,Q281&lt;0),"ورودی نامعتبر",IF(R281&lt;0,"کسری",IF(R281&gt;0,"اضافه","بدون مغایرت")))))</x:f>
      </x:c>
      <x:c r="V281" s="10" t="str">
        <x:f>IF(OR(A281="",B281=""),"",IF(COUNTIFS($A$8:$A$507,A281,$B$8:$B$507,B281)&gt;1,"ثبت تکراری",""))</x:f>
      </x:c>
      <x:c r="W281" s="9"/>
    </x:row>
    <x:row r="282" ht="25" customHeight="1">
      <x:c r="A282" s="11"/>
      <x:c r="B282" s="11"/>
      <x:c r="C282" s="11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3" t="str">
        <x:f>IF(COUNT(D282:E282)=2,SUM(D282:E282),"")</x:f>
      </x:c>
      <x:c r="P282" s="13" t="str">
        <x:f>IF(COUNT(H282:I282)=2,SUM(H282:I282),"")</x:f>
      </x:c>
      <x:c r="Q282" s="13" t="str">
        <x:f>IF(AND(ISNUMBER(O282),COUNT(L282:N282)=3),O282+L282-M282-N282,"")</x:f>
      </x:c>
      <x:c r="R282" s="13" t="str">
        <x:f>IF(AND(A282&lt;&gt;"",B282&lt;&gt;"",ISNUMBER(P282),ISNUMBER(Q282)),P282-Q282,"")</x:f>
      </x:c>
      <x:c r="S282" s="13" t="str">
        <x:f>IF(COUNT(H282,J282)=2,J282-H282,"")</x:f>
      </x:c>
      <x:c r="T282" s="13" t="str">
        <x:f>IF(COUNT(I282,K282)=2,K282-I282,"")</x:f>
      </x:c>
      <x:c r="U282" s="10" t="str">
        <x:f>IF(NOT(OR(A282&lt;&gt;"",B282&lt;&gt;"",COUNT(D282:N282)&gt;0)),"",IF(OR(A282="",B282="",COUNT(D282:E282,H282:I282,L282:N282)&lt;&gt;7),"ناقص",IF(OR(MIN(D282:E282,H282:I282,L282:N282)&lt;0,Q282&lt;0),"ورودی نامعتبر",IF(R282&lt;0,"کسری",IF(R282&gt;0,"اضافه","بدون مغایرت")))))</x:f>
      </x:c>
      <x:c r="V282" s="10" t="str">
        <x:f>IF(OR(A282="",B282=""),"",IF(COUNTIFS($A$8:$A$507,A282,$B$8:$B$507,B282)&gt;1,"ثبت تکراری",""))</x:f>
      </x:c>
      <x:c r="W282" s="9"/>
    </x:row>
    <x:row r="283" ht="25" customHeight="1">
      <x:c r="A283" s="11"/>
      <x:c r="B283" s="11"/>
      <x:c r="C283" s="11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3" t="str">
        <x:f>IF(COUNT(D283:E283)=2,SUM(D283:E283),"")</x:f>
      </x:c>
      <x:c r="P283" s="13" t="str">
        <x:f>IF(COUNT(H283:I283)=2,SUM(H283:I283),"")</x:f>
      </x:c>
      <x:c r="Q283" s="13" t="str">
        <x:f>IF(AND(ISNUMBER(O283),COUNT(L283:N283)=3),O283+L283-M283-N283,"")</x:f>
      </x:c>
      <x:c r="R283" s="13" t="str">
        <x:f>IF(AND(A283&lt;&gt;"",B283&lt;&gt;"",ISNUMBER(P283),ISNUMBER(Q283)),P283-Q283,"")</x:f>
      </x:c>
      <x:c r="S283" s="13" t="str">
        <x:f>IF(COUNT(H283,J283)=2,J283-H283,"")</x:f>
      </x:c>
      <x:c r="T283" s="13" t="str">
        <x:f>IF(COUNT(I283,K283)=2,K283-I283,"")</x:f>
      </x:c>
      <x:c r="U283" s="10" t="str">
        <x:f>IF(NOT(OR(A283&lt;&gt;"",B283&lt;&gt;"",COUNT(D283:N283)&gt;0)),"",IF(OR(A283="",B283="",COUNT(D283:E283,H283:I283,L283:N283)&lt;&gt;7),"ناقص",IF(OR(MIN(D283:E283,H283:I283,L283:N283)&lt;0,Q283&lt;0),"ورودی نامعتبر",IF(R283&lt;0,"کسری",IF(R283&gt;0,"اضافه","بدون مغایرت")))))</x:f>
      </x:c>
      <x:c r="V283" s="10" t="str">
        <x:f>IF(OR(A283="",B283=""),"",IF(COUNTIFS($A$8:$A$507,A283,$B$8:$B$507,B283)&gt;1,"ثبت تکراری",""))</x:f>
      </x:c>
      <x:c r="W283" s="9"/>
    </x:row>
    <x:row r="284" ht="25" customHeight="1">
      <x:c r="A284" s="11"/>
      <x:c r="B284" s="11"/>
      <x:c r="C284" s="11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3" t="str">
        <x:f>IF(COUNT(D284:E284)=2,SUM(D284:E284),"")</x:f>
      </x:c>
      <x:c r="P284" s="13" t="str">
        <x:f>IF(COUNT(H284:I284)=2,SUM(H284:I284),"")</x:f>
      </x:c>
      <x:c r="Q284" s="13" t="str">
        <x:f>IF(AND(ISNUMBER(O284),COUNT(L284:N284)=3),O284+L284-M284-N284,"")</x:f>
      </x:c>
      <x:c r="R284" s="13" t="str">
        <x:f>IF(AND(A284&lt;&gt;"",B284&lt;&gt;"",ISNUMBER(P284),ISNUMBER(Q284)),P284-Q284,"")</x:f>
      </x:c>
      <x:c r="S284" s="13" t="str">
        <x:f>IF(COUNT(H284,J284)=2,J284-H284,"")</x:f>
      </x:c>
      <x:c r="T284" s="13" t="str">
        <x:f>IF(COUNT(I284,K284)=2,K284-I284,"")</x:f>
      </x:c>
      <x:c r="U284" s="10" t="str">
        <x:f>IF(NOT(OR(A284&lt;&gt;"",B284&lt;&gt;"",COUNT(D284:N284)&gt;0)),"",IF(OR(A284="",B284="",COUNT(D284:E284,H284:I284,L284:N284)&lt;&gt;7),"ناقص",IF(OR(MIN(D284:E284,H284:I284,L284:N284)&lt;0,Q284&lt;0),"ورودی نامعتبر",IF(R284&lt;0,"کسری",IF(R284&gt;0,"اضافه","بدون مغایرت")))))</x:f>
      </x:c>
      <x:c r="V284" s="10" t="str">
        <x:f>IF(OR(A284="",B284=""),"",IF(COUNTIFS($A$8:$A$507,A284,$B$8:$B$507,B284)&gt;1,"ثبت تکراری",""))</x:f>
      </x:c>
      <x:c r="W284" s="9"/>
    </x:row>
    <x:row r="285" ht="25" customHeight="1">
      <x:c r="A285" s="11"/>
      <x:c r="B285" s="11"/>
      <x:c r="C285" s="11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3" t="str">
        <x:f>IF(COUNT(D285:E285)=2,SUM(D285:E285),"")</x:f>
      </x:c>
      <x:c r="P285" s="13" t="str">
        <x:f>IF(COUNT(H285:I285)=2,SUM(H285:I285),"")</x:f>
      </x:c>
      <x:c r="Q285" s="13" t="str">
        <x:f>IF(AND(ISNUMBER(O285),COUNT(L285:N285)=3),O285+L285-M285-N285,"")</x:f>
      </x:c>
      <x:c r="R285" s="13" t="str">
        <x:f>IF(AND(A285&lt;&gt;"",B285&lt;&gt;"",ISNUMBER(P285),ISNUMBER(Q285)),P285-Q285,"")</x:f>
      </x:c>
      <x:c r="S285" s="13" t="str">
        <x:f>IF(COUNT(H285,J285)=2,J285-H285,"")</x:f>
      </x:c>
      <x:c r="T285" s="13" t="str">
        <x:f>IF(COUNT(I285,K285)=2,K285-I285,"")</x:f>
      </x:c>
      <x:c r="U285" s="10" t="str">
        <x:f>IF(NOT(OR(A285&lt;&gt;"",B285&lt;&gt;"",COUNT(D285:N285)&gt;0)),"",IF(OR(A285="",B285="",COUNT(D285:E285,H285:I285,L285:N285)&lt;&gt;7),"ناقص",IF(OR(MIN(D285:E285,H285:I285,L285:N285)&lt;0,Q285&lt;0),"ورودی نامعتبر",IF(R285&lt;0,"کسری",IF(R285&gt;0,"اضافه","بدون مغایرت")))))</x:f>
      </x:c>
      <x:c r="V285" s="10" t="str">
        <x:f>IF(OR(A285="",B285=""),"",IF(COUNTIFS($A$8:$A$507,A285,$B$8:$B$507,B285)&gt;1,"ثبت تکراری",""))</x:f>
      </x:c>
      <x:c r="W285" s="9"/>
    </x:row>
    <x:row r="286" ht="25" customHeight="1">
      <x:c r="A286" s="11"/>
      <x:c r="B286" s="11"/>
      <x:c r="C286" s="11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3" t="str">
        <x:f>IF(COUNT(D286:E286)=2,SUM(D286:E286),"")</x:f>
      </x:c>
      <x:c r="P286" s="13" t="str">
        <x:f>IF(COUNT(H286:I286)=2,SUM(H286:I286),"")</x:f>
      </x:c>
      <x:c r="Q286" s="13" t="str">
        <x:f>IF(AND(ISNUMBER(O286),COUNT(L286:N286)=3),O286+L286-M286-N286,"")</x:f>
      </x:c>
      <x:c r="R286" s="13" t="str">
        <x:f>IF(AND(A286&lt;&gt;"",B286&lt;&gt;"",ISNUMBER(P286),ISNUMBER(Q286)),P286-Q286,"")</x:f>
      </x:c>
      <x:c r="S286" s="13" t="str">
        <x:f>IF(COUNT(H286,J286)=2,J286-H286,"")</x:f>
      </x:c>
      <x:c r="T286" s="13" t="str">
        <x:f>IF(COUNT(I286,K286)=2,K286-I286,"")</x:f>
      </x:c>
      <x:c r="U286" s="10" t="str">
        <x:f>IF(NOT(OR(A286&lt;&gt;"",B286&lt;&gt;"",COUNT(D286:N286)&gt;0)),"",IF(OR(A286="",B286="",COUNT(D286:E286,H286:I286,L286:N286)&lt;&gt;7),"ناقص",IF(OR(MIN(D286:E286,H286:I286,L286:N286)&lt;0,Q286&lt;0),"ورودی نامعتبر",IF(R286&lt;0,"کسری",IF(R286&gt;0,"اضافه","بدون مغایرت")))))</x:f>
      </x:c>
      <x:c r="V286" s="10" t="str">
        <x:f>IF(OR(A286="",B286=""),"",IF(COUNTIFS($A$8:$A$507,A286,$B$8:$B$507,B286)&gt;1,"ثبت تکراری",""))</x:f>
      </x:c>
      <x:c r="W286" s="9"/>
    </x:row>
    <x:row r="287" ht="25" customHeight="1">
      <x:c r="A287" s="11"/>
      <x:c r="B287" s="11"/>
      <x:c r="C287" s="11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3" t="str">
        <x:f>IF(COUNT(D287:E287)=2,SUM(D287:E287),"")</x:f>
      </x:c>
      <x:c r="P287" s="13" t="str">
        <x:f>IF(COUNT(H287:I287)=2,SUM(H287:I287),"")</x:f>
      </x:c>
      <x:c r="Q287" s="13" t="str">
        <x:f>IF(AND(ISNUMBER(O287),COUNT(L287:N287)=3),O287+L287-M287-N287,"")</x:f>
      </x:c>
      <x:c r="R287" s="13" t="str">
        <x:f>IF(AND(A287&lt;&gt;"",B287&lt;&gt;"",ISNUMBER(P287),ISNUMBER(Q287)),P287-Q287,"")</x:f>
      </x:c>
      <x:c r="S287" s="13" t="str">
        <x:f>IF(COUNT(H287,J287)=2,J287-H287,"")</x:f>
      </x:c>
      <x:c r="T287" s="13" t="str">
        <x:f>IF(COUNT(I287,K287)=2,K287-I287,"")</x:f>
      </x:c>
      <x:c r="U287" s="10" t="str">
        <x:f>IF(NOT(OR(A287&lt;&gt;"",B287&lt;&gt;"",COUNT(D287:N287)&gt;0)),"",IF(OR(A287="",B287="",COUNT(D287:E287,H287:I287,L287:N287)&lt;&gt;7),"ناقص",IF(OR(MIN(D287:E287,H287:I287,L287:N287)&lt;0,Q287&lt;0),"ورودی نامعتبر",IF(R287&lt;0,"کسری",IF(R287&gt;0,"اضافه","بدون مغایرت")))))</x:f>
      </x:c>
      <x:c r="V287" s="10" t="str">
        <x:f>IF(OR(A287="",B287=""),"",IF(COUNTIFS($A$8:$A$507,A287,$B$8:$B$507,B287)&gt;1,"ثبت تکراری",""))</x:f>
      </x:c>
      <x:c r="W287" s="9"/>
    </x:row>
    <x:row r="288" ht="25" customHeight="1">
      <x:c r="A288" s="11"/>
      <x:c r="B288" s="11"/>
      <x:c r="C288" s="11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3" t="str">
        <x:f>IF(COUNT(D288:E288)=2,SUM(D288:E288),"")</x:f>
      </x:c>
      <x:c r="P288" s="13" t="str">
        <x:f>IF(COUNT(H288:I288)=2,SUM(H288:I288),"")</x:f>
      </x:c>
      <x:c r="Q288" s="13" t="str">
        <x:f>IF(AND(ISNUMBER(O288),COUNT(L288:N288)=3),O288+L288-M288-N288,"")</x:f>
      </x:c>
      <x:c r="R288" s="13" t="str">
        <x:f>IF(AND(A288&lt;&gt;"",B288&lt;&gt;"",ISNUMBER(P288),ISNUMBER(Q288)),P288-Q288,"")</x:f>
      </x:c>
      <x:c r="S288" s="13" t="str">
        <x:f>IF(COUNT(H288,J288)=2,J288-H288,"")</x:f>
      </x:c>
      <x:c r="T288" s="13" t="str">
        <x:f>IF(COUNT(I288,K288)=2,K288-I288,"")</x:f>
      </x:c>
      <x:c r="U288" s="10" t="str">
        <x:f>IF(NOT(OR(A288&lt;&gt;"",B288&lt;&gt;"",COUNT(D288:N288)&gt;0)),"",IF(OR(A288="",B288="",COUNT(D288:E288,H288:I288,L288:N288)&lt;&gt;7),"ناقص",IF(OR(MIN(D288:E288,H288:I288,L288:N288)&lt;0,Q288&lt;0),"ورودی نامعتبر",IF(R288&lt;0,"کسری",IF(R288&gt;0,"اضافه","بدون مغایرت")))))</x:f>
      </x:c>
      <x:c r="V288" s="10" t="str">
        <x:f>IF(OR(A288="",B288=""),"",IF(COUNTIFS($A$8:$A$507,A288,$B$8:$B$507,B288)&gt;1,"ثبت تکراری",""))</x:f>
      </x:c>
      <x:c r="W288" s="9"/>
    </x:row>
    <x:row r="289" ht="25" customHeight="1">
      <x:c r="A289" s="11"/>
      <x:c r="B289" s="11"/>
      <x:c r="C289" s="11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3" t="str">
        <x:f>IF(COUNT(D289:E289)=2,SUM(D289:E289),"")</x:f>
      </x:c>
      <x:c r="P289" s="13" t="str">
        <x:f>IF(COUNT(H289:I289)=2,SUM(H289:I289),"")</x:f>
      </x:c>
      <x:c r="Q289" s="13" t="str">
        <x:f>IF(AND(ISNUMBER(O289),COUNT(L289:N289)=3),O289+L289-M289-N289,"")</x:f>
      </x:c>
      <x:c r="R289" s="13" t="str">
        <x:f>IF(AND(A289&lt;&gt;"",B289&lt;&gt;"",ISNUMBER(P289),ISNUMBER(Q289)),P289-Q289,"")</x:f>
      </x:c>
      <x:c r="S289" s="13" t="str">
        <x:f>IF(COUNT(H289,J289)=2,J289-H289,"")</x:f>
      </x:c>
      <x:c r="T289" s="13" t="str">
        <x:f>IF(COUNT(I289,K289)=2,K289-I289,"")</x:f>
      </x:c>
      <x:c r="U289" s="10" t="str">
        <x:f>IF(NOT(OR(A289&lt;&gt;"",B289&lt;&gt;"",COUNT(D289:N289)&gt;0)),"",IF(OR(A289="",B289="",COUNT(D289:E289,H289:I289,L289:N289)&lt;&gt;7),"ناقص",IF(OR(MIN(D289:E289,H289:I289,L289:N289)&lt;0,Q289&lt;0),"ورودی نامعتبر",IF(R289&lt;0,"کسری",IF(R289&gt;0,"اضافه","بدون مغایرت")))))</x:f>
      </x:c>
      <x:c r="V289" s="10" t="str">
        <x:f>IF(OR(A289="",B289=""),"",IF(COUNTIFS($A$8:$A$507,A289,$B$8:$B$507,B289)&gt;1,"ثبت تکراری",""))</x:f>
      </x:c>
      <x:c r="W289" s="9"/>
    </x:row>
    <x:row r="290" ht="25" customHeight="1">
      <x:c r="A290" s="11"/>
      <x:c r="B290" s="11"/>
      <x:c r="C290" s="11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3" t="str">
        <x:f>IF(COUNT(D290:E290)=2,SUM(D290:E290),"")</x:f>
      </x:c>
      <x:c r="P290" s="13" t="str">
        <x:f>IF(COUNT(H290:I290)=2,SUM(H290:I290),"")</x:f>
      </x:c>
      <x:c r="Q290" s="13" t="str">
        <x:f>IF(AND(ISNUMBER(O290),COUNT(L290:N290)=3),O290+L290-M290-N290,"")</x:f>
      </x:c>
      <x:c r="R290" s="13" t="str">
        <x:f>IF(AND(A290&lt;&gt;"",B290&lt;&gt;"",ISNUMBER(P290),ISNUMBER(Q290)),P290-Q290,"")</x:f>
      </x:c>
      <x:c r="S290" s="13" t="str">
        <x:f>IF(COUNT(H290,J290)=2,J290-H290,"")</x:f>
      </x:c>
      <x:c r="T290" s="13" t="str">
        <x:f>IF(COUNT(I290,K290)=2,K290-I290,"")</x:f>
      </x:c>
      <x:c r="U290" s="10" t="str">
        <x:f>IF(NOT(OR(A290&lt;&gt;"",B290&lt;&gt;"",COUNT(D290:N290)&gt;0)),"",IF(OR(A290="",B290="",COUNT(D290:E290,H290:I290,L290:N290)&lt;&gt;7),"ناقص",IF(OR(MIN(D290:E290,H290:I290,L290:N290)&lt;0,Q290&lt;0),"ورودی نامعتبر",IF(R290&lt;0,"کسری",IF(R290&gt;0,"اضافه","بدون مغایرت")))))</x:f>
      </x:c>
      <x:c r="V290" s="10" t="str">
        <x:f>IF(OR(A290="",B290=""),"",IF(COUNTIFS($A$8:$A$507,A290,$B$8:$B$507,B290)&gt;1,"ثبت تکراری",""))</x:f>
      </x:c>
      <x:c r="W290" s="9"/>
    </x:row>
    <x:row r="291" ht="25" customHeight="1">
      <x:c r="A291" s="11"/>
      <x:c r="B291" s="11"/>
      <x:c r="C291" s="11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3" t="str">
        <x:f>IF(COUNT(D291:E291)=2,SUM(D291:E291),"")</x:f>
      </x:c>
      <x:c r="P291" s="13" t="str">
        <x:f>IF(COUNT(H291:I291)=2,SUM(H291:I291),"")</x:f>
      </x:c>
      <x:c r="Q291" s="13" t="str">
        <x:f>IF(AND(ISNUMBER(O291),COUNT(L291:N291)=3),O291+L291-M291-N291,"")</x:f>
      </x:c>
      <x:c r="R291" s="13" t="str">
        <x:f>IF(AND(A291&lt;&gt;"",B291&lt;&gt;"",ISNUMBER(P291),ISNUMBER(Q291)),P291-Q291,"")</x:f>
      </x:c>
      <x:c r="S291" s="13" t="str">
        <x:f>IF(COUNT(H291,J291)=2,J291-H291,"")</x:f>
      </x:c>
      <x:c r="T291" s="13" t="str">
        <x:f>IF(COUNT(I291,K291)=2,K291-I291,"")</x:f>
      </x:c>
      <x:c r="U291" s="10" t="str">
        <x:f>IF(NOT(OR(A291&lt;&gt;"",B291&lt;&gt;"",COUNT(D291:N291)&gt;0)),"",IF(OR(A291="",B291="",COUNT(D291:E291,H291:I291,L291:N291)&lt;&gt;7),"ناقص",IF(OR(MIN(D291:E291,H291:I291,L291:N291)&lt;0,Q291&lt;0),"ورودی نامعتبر",IF(R291&lt;0,"کسری",IF(R291&gt;0,"اضافه","بدون مغایرت")))))</x:f>
      </x:c>
      <x:c r="V291" s="10" t="str">
        <x:f>IF(OR(A291="",B291=""),"",IF(COUNTIFS($A$8:$A$507,A291,$B$8:$B$507,B291)&gt;1,"ثبت تکراری",""))</x:f>
      </x:c>
      <x:c r="W291" s="9"/>
    </x:row>
    <x:row r="292" ht="25" customHeight="1">
      <x:c r="A292" s="11"/>
      <x:c r="B292" s="11"/>
      <x:c r="C292" s="11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3" t="str">
        <x:f>IF(COUNT(D292:E292)=2,SUM(D292:E292),"")</x:f>
      </x:c>
      <x:c r="P292" s="13" t="str">
        <x:f>IF(COUNT(H292:I292)=2,SUM(H292:I292),"")</x:f>
      </x:c>
      <x:c r="Q292" s="13" t="str">
        <x:f>IF(AND(ISNUMBER(O292),COUNT(L292:N292)=3),O292+L292-M292-N292,"")</x:f>
      </x:c>
      <x:c r="R292" s="13" t="str">
        <x:f>IF(AND(A292&lt;&gt;"",B292&lt;&gt;"",ISNUMBER(P292),ISNUMBER(Q292)),P292-Q292,"")</x:f>
      </x:c>
      <x:c r="S292" s="13" t="str">
        <x:f>IF(COUNT(H292,J292)=2,J292-H292,"")</x:f>
      </x:c>
      <x:c r="T292" s="13" t="str">
        <x:f>IF(COUNT(I292,K292)=2,K292-I292,"")</x:f>
      </x:c>
      <x:c r="U292" s="10" t="str">
        <x:f>IF(NOT(OR(A292&lt;&gt;"",B292&lt;&gt;"",COUNT(D292:N292)&gt;0)),"",IF(OR(A292="",B292="",COUNT(D292:E292,H292:I292,L292:N292)&lt;&gt;7),"ناقص",IF(OR(MIN(D292:E292,H292:I292,L292:N292)&lt;0,Q292&lt;0),"ورودی نامعتبر",IF(R292&lt;0,"کسری",IF(R292&gt;0,"اضافه","بدون مغایرت")))))</x:f>
      </x:c>
      <x:c r="V292" s="10" t="str">
        <x:f>IF(OR(A292="",B292=""),"",IF(COUNTIFS($A$8:$A$507,A292,$B$8:$B$507,B292)&gt;1,"ثبت تکراری",""))</x:f>
      </x:c>
      <x:c r="W292" s="9"/>
    </x:row>
    <x:row r="293" ht="25" customHeight="1">
      <x:c r="A293" s="11"/>
      <x:c r="B293" s="11"/>
      <x:c r="C293" s="11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3" t="str">
        <x:f>IF(COUNT(D293:E293)=2,SUM(D293:E293),"")</x:f>
      </x:c>
      <x:c r="P293" s="13" t="str">
        <x:f>IF(COUNT(H293:I293)=2,SUM(H293:I293),"")</x:f>
      </x:c>
      <x:c r="Q293" s="13" t="str">
        <x:f>IF(AND(ISNUMBER(O293),COUNT(L293:N293)=3),O293+L293-M293-N293,"")</x:f>
      </x:c>
      <x:c r="R293" s="13" t="str">
        <x:f>IF(AND(A293&lt;&gt;"",B293&lt;&gt;"",ISNUMBER(P293),ISNUMBER(Q293)),P293-Q293,"")</x:f>
      </x:c>
      <x:c r="S293" s="13" t="str">
        <x:f>IF(COUNT(H293,J293)=2,J293-H293,"")</x:f>
      </x:c>
      <x:c r="T293" s="13" t="str">
        <x:f>IF(COUNT(I293,K293)=2,K293-I293,"")</x:f>
      </x:c>
      <x:c r="U293" s="10" t="str">
        <x:f>IF(NOT(OR(A293&lt;&gt;"",B293&lt;&gt;"",COUNT(D293:N293)&gt;0)),"",IF(OR(A293="",B293="",COUNT(D293:E293,H293:I293,L293:N293)&lt;&gt;7),"ناقص",IF(OR(MIN(D293:E293,H293:I293,L293:N293)&lt;0,Q293&lt;0),"ورودی نامعتبر",IF(R293&lt;0,"کسری",IF(R293&gt;0,"اضافه","بدون مغایرت")))))</x:f>
      </x:c>
      <x:c r="V293" s="10" t="str">
        <x:f>IF(OR(A293="",B293=""),"",IF(COUNTIFS($A$8:$A$507,A293,$B$8:$B$507,B293)&gt;1,"ثبت تکراری",""))</x:f>
      </x:c>
      <x:c r="W293" s="9"/>
    </x:row>
    <x:row r="294" ht="25" customHeight="1">
      <x:c r="A294" s="11"/>
      <x:c r="B294" s="11"/>
      <x:c r="C294" s="11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3" t="str">
        <x:f>IF(COUNT(D294:E294)=2,SUM(D294:E294),"")</x:f>
      </x:c>
      <x:c r="P294" s="13" t="str">
        <x:f>IF(COUNT(H294:I294)=2,SUM(H294:I294),"")</x:f>
      </x:c>
      <x:c r="Q294" s="13" t="str">
        <x:f>IF(AND(ISNUMBER(O294),COUNT(L294:N294)=3),O294+L294-M294-N294,"")</x:f>
      </x:c>
      <x:c r="R294" s="13" t="str">
        <x:f>IF(AND(A294&lt;&gt;"",B294&lt;&gt;"",ISNUMBER(P294),ISNUMBER(Q294)),P294-Q294,"")</x:f>
      </x:c>
      <x:c r="S294" s="13" t="str">
        <x:f>IF(COUNT(H294,J294)=2,J294-H294,"")</x:f>
      </x:c>
      <x:c r="T294" s="13" t="str">
        <x:f>IF(COUNT(I294,K294)=2,K294-I294,"")</x:f>
      </x:c>
      <x:c r="U294" s="10" t="str">
        <x:f>IF(NOT(OR(A294&lt;&gt;"",B294&lt;&gt;"",COUNT(D294:N294)&gt;0)),"",IF(OR(A294="",B294="",COUNT(D294:E294,H294:I294,L294:N294)&lt;&gt;7),"ناقص",IF(OR(MIN(D294:E294,H294:I294,L294:N294)&lt;0,Q294&lt;0),"ورودی نامعتبر",IF(R294&lt;0,"کسری",IF(R294&gt;0,"اضافه","بدون مغایرت")))))</x:f>
      </x:c>
      <x:c r="V294" s="10" t="str">
        <x:f>IF(OR(A294="",B294=""),"",IF(COUNTIFS($A$8:$A$507,A294,$B$8:$B$507,B294)&gt;1,"ثبت تکراری",""))</x:f>
      </x:c>
      <x:c r="W294" s="9"/>
    </x:row>
    <x:row r="295" ht="25" customHeight="1">
      <x:c r="A295" s="11"/>
      <x:c r="B295" s="11"/>
      <x:c r="C295" s="11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3" t="str">
        <x:f>IF(COUNT(D295:E295)=2,SUM(D295:E295),"")</x:f>
      </x:c>
      <x:c r="P295" s="13" t="str">
        <x:f>IF(COUNT(H295:I295)=2,SUM(H295:I295),"")</x:f>
      </x:c>
      <x:c r="Q295" s="13" t="str">
        <x:f>IF(AND(ISNUMBER(O295),COUNT(L295:N295)=3),O295+L295-M295-N295,"")</x:f>
      </x:c>
      <x:c r="R295" s="13" t="str">
        <x:f>IF(AND(A295&lt;&gt;"",B295&lt;&gt;"",ISNUMBER(P295),ISNUMBER(Q295)),P295-Q295,"")</x:f>
      </x:c>
      <x:c r="S295" s="13" t="str">
        <x:f>IF(COUNT(H295,J295)=2,J295-H295,"")</x:f>
      </x:c>
      <x:c r="T295" s="13" t="str">
        <x:f>IF(COUNT(I295,K295)=2,K295-I295,"")</x:f>
      </x:c>
      <x:c r="U295" s="10" t="str">
        <x:f>IF(NOT(OR(A295&lt;&gt;"",B295&lt;&gt;"",COUNT(D295:N295)&gt;0)),"",IF(OR(A295="",B295="",COUNT(D295:E295,H295:I295,L295:N295)&lt;&gt;7),"ناقص",IF(OR(MIN(D295:E295,H295:I295,L295:N295)&lt;0,Q295&lt;0),"ورودی نامعتبر",IF(R295&lt;0,"کسری",IF(R295&gt;0,"اضافه","بدون مغایرت")))))</x:f>
      </x:c>
      <x:c r="V295" s="10" t="str">
        <x:f>IF(OR(A295="",B295=""),"",IF(COUNTIFS($A$8:$A$507,A295,$B$8:$B$507,B295)&gt;1,"ثبت تکراری",""))</x:f>
      </x:c>
      <x:c r="W295" s="9"/>
    </x:row>
    <x:row r="296" ht="25" customHeight="1">
      <x:c r="A296" s="11"/>
      <x:c r="B296" s="11"/>
      <x:c r="C296" s="11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3" t="str">
        <x:f>IF(COUNT(D296:E296)=2,SUM(D296:E296),"")</x:f>
      </x:c>
      <x:c r="P296" s="13" t="str">
        <x:f>IF(COUNT(H296:I296)=2,SUM(H296:I296),"")</x:f>
      </x:c>
      <x:c r="Q296" s="13" t="str">
        <x:f>IF(AND(ISNUMBER(O296),COUNT(L296:N296)=3),O296+L296-M296-N296,"")</x:f>
      </x:c>
      <x:c r="R296" s="13" t="str">
        <x:f>IF(AND(A296&lt;&gt;"",B296&lt;&gt;"",ISNUMBER(P296),ISNUMBER(Q296)),P296-Q296,"")</x:f>
      </x:c>
      <x:c r="S296" s="13" t="str">
        <x:f>IF(COUNT(H296,J296)=2,J296-H296,"")</x:f>
      </x:c>
      <x:c r="T296" s="13" t="str">
        <x:f>IF(COUNT(I296,K296)=2,K296-I296,"")</x:f>
      </x:c>
      <x:c r="U296" s="10" t="str">
        <x:f>IF(NOT(OR(A296&lt;&gt;"",B296&lt;&gt;"",COUNT(D296:N296)&gt;0)),"",IF(OR(A296="",B296="",COUNT(D296:E296,H296:I296,L296:N296)&lt;&gt;7),"ناقص",IF(OR(MIN(D296:E296,H296:I296,L296:N296)&lt;0,Q296&lt;0),"ورودی نامعتبر",IF(R296&lt;0,"کسری",IF(R296&gt;0,"اضافه","بدون مغایرت")))))</x:f>
      </x:c>
      <x:c r="V296" s="10" t="str">
        <x:f>IF(OR(A296="",B296=""),"",IF(COUNTIFS($A$8:$A$507,A296,$B$8:$B$507,B296)&gt;1,"ثبت تکراری",""))</x:f>
      </x:c>
      <x:c r="W296" s="9"/>
    </x:row>
    <x:row r="297" ht="25" customHeight="1">
      <x:c r="A297" s="11"/>
      <x:c r="B297" s="11"/>
      <x:c r="C297" s="11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3" t="str">
        <x:f>IF(COUNT(D297:E297)=2,SUM(D297:E297),"")</x:f>
      </x:c>
      <x:c r="P297" s="13" t="str">
        <x:f>IF(COUNT(H297:I297)=2,SUM(H297:I297),"")</x:f>
      </x:c>
      <x:c r="Q297" s="13" t="str">
        <x:f>IF(AND(ISNUMBER(O297),COUNT(L297:N297)=3),O297+L297-M297-N297,"")</x:f>
      </x:c>
      <x:c r="R297" s="13" t="str">
        <x:f>IF(AND(A297&lt;&gt;"",B297&lt;&gt;"",ISNUMBER(P297),ISNUMBER(Q297)),P297-Q297,"")</x:f>
      </x:c>
      <x:c r="S297" s="13" t="str">
        <x:f>IF(COUNT(H297,J297)=2,J297-H297,"")</x:f>
      </x:c>
      <x:c r="T297" s="13" t="str">
        <x:f>IF(COUNT(I297,K297)=2,K297-I297,"")</x:f>
      </x:c>
      <x:c r="U297" s="10" t="str">
        <x:f>IF(NOT(OR(A297&lt;&gt;"",B297&lt;&gt;"",COUNT(D297:N297)&gt;0)),"",IF(OR(A297="",B297="",COUNT(D297:E297,H297:I297,L297:N297)&lt;&gt;7),"ناقص",IF(OR(MIN(D297:E297,H297:I297,L297:N297)&lt;0,Q297&lt;0),"ورودی نامعتبر",IF(R297&lt;0,"کسری",IF(R297&gt;0,"اضافه","بدون مغایرت")))))</x:f>
      </x:c>
      <x:c r="V297" s="10" t="str">
        <x:f>IF(OR(A297="",B297=""),"",IF(COUNTIFS($A$8:$A$507,A297,$B$8:$B$507,B297)&gt;1,"ثبت تکراری",""))</x:f>
      </x:c>
      <x:c r="W297" s="9"/>
    </x:row>
    <x:row r="298" ht="25" customHeight="1">
      <x:c r="A298" s="11"/>
      <x:c r="B298" s="11"/>
      <x:c r="C298" s="11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3" t="str">
        <x:f>IF(COUNT(D298:E298)=2,SUM(D298:E298),"")</x:f>
      </x:c>
      <x:c r="P298" s="13" t="str">
        <x:f>IF(COUNT(H298:I298)=2,SUM(H298:I298),"")</x:f>
      </x:c>
      <x:c r="Q298" s="13" t="str">
        <x:f>IF(AND(ISNUMBER(O298),COUNT(L298:N298)=3),O298+L298-M298-N298,"")</x:f>
      </x:c>
      <x:c r="R298" s="13" t="str">
        <x:f>IF(AND(A298&lt;&gt;"",B298&lt;&gt;"",ISNUMBER(P298),ISNUMBER(Q298)),P298-Q298,"")</x:f>
      </x:c>
      <x:c r="S298" s="13" t="str">
        <x:f>IF(COUNT(H298,J298)=2,J298-H298,"")</x:f>
      </x:c>
      <x:c r="T298" s="13" t="str">
        <x:f>IF(COUNT(I298,K298)=2,K298-I298,"")</x:f>
      </x:c>
      <x:c r="U298" s="10" t="str">
        <x:f>IF(NOT(OR(A298&lt;&gt;"",B298&lt;&gt;"",COUNT(D298:N298)&gt;0)),"",IF(OR(A298="",B298="",COUNT(D298:E298,H298:I298,L298:N298)&lt;&gt;7),"ناقص",IF(OR(MIN(D298:E298,H298:I298,L298:N298)&lt;0,Q298&lt;0),"ورودی نامعتبر",IF(R298&lt;0,"کسری",IF(R298&gt;0,"اضافه","بدون مغایرت")))))</x:f>
      </x:c>
      <x:c r="V298" s="10" t="str">
        <x:f>IF(OR(A298="",B298=""),"",IF(COUNTIFS($A$8:$A$507,A298,$B$8:$B$507,B298)&gt;1,"ثبت تکراری",""))</x:f>
      </x:c>
      <x:c r="W298" s="9"/>
    </x:row>
    <x:row r="299" ht="25" customHeight="1">
      <x:c r="A299" s="11"/>
      <x:c r="B299" s="11"/>
      <x:c r="C299" s="11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3" t="str">
        <x:f>IF(COUNT(D299:E299)=2,SUM(D299:E299),"")</x:f>
      </x:c>
      <x:c r="P299" s="13" t="str">
        <x:f>IF(COUNT(H299:I299)=2,SUM(H299:I299),"")</x:f>
      </x:c>
      <x:c r="Q299" s="13" t="str">
        <x:f>IF(AND(ISNUMBER(O299),COUNT(L299:N299)=3),O299+L299-M299-N299,"")</x:f>
      </x:c>
      <x:c r="R299" s="13" t="str">
        <x:f>IF(AND(A299&lt;&gt;"",B299&lt;&gt;"",ISNUMBER(P299),ISNUMBER(Q299)),P299-Q299,"")</x:f>
      </x:c>
      <x:c r="S299" s="13" t="str">
        <x:f>IF(COUNT(H299,J299)=2,J299-H299,"")</x:f>
      </x:c>
      <x:c r="T299" s="13" t="str">
        <x:f>IF(COUNT(I299,K299)=2,K299-I299,"")</x:f>
      </x:c>
      <x:c r="U299" s="10" t="str">
        <x:f>IF(NOT(OR(A299&lt;&gt;"",B299&lt;&gt;"",COUNT(D299:N299)&gt;0)),"",IF(OR(A299="",B299="",COUNT(D299:E299,H299:I299,L299:N299)&lt;&gt;7),"ناقص",IF(OR(MIN(D299:E299,H299:I299,L299:N299)&lt;0,Q299&lt;0),"ورودی نامعتبر",IF(R299&lt;0,"کسری",IF(R299&gt;0,"اضافه","بدون مغایرت")))))</x:f>
      </x:c>
      <x:c r="V299" s="10" t="str">
        <x:f>IF(OR(A299="",B299=""),"",IF(COUNTIFS($A$8:$A$507,A299,$B$8:$B$507,B299)&gt;1,"ثبت تکراری",""))</x:f>
      </x:c>
      <x:c r="W299" s="9"/>
    </x:row>
    <x:row r="300" ht="25" customHeight="1">
      <x:c r="A300" s="11"/>
      <x:c r="B300" s="11"/>
      <x:c r="C300" s="11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3" t="str">
        <x:f>IF(COUNT(D300:E300)=2,SUM(D300:E300),"")</x:f>
      </x:c>
      <x:c r="P300" s="13" t="str">
        <x:f>IF(COUNT(H300:I300)=2,SUM(H300:I300),"")</x:f>
      </x:c>
      <x:c r="Q300" s="13" t="str">
        <x:f>IF(AND(ISNUMBER(O300),COUNT(L300:N300)=3),O300+L300-M300-N300,"")</x:f>
      </x:c>
      <x:c r="R300" s="13" t="str">
        <x:f>IF(AND(A300&lt;&gt;"",B300&lt;&gt;"",ISNUMBER(P300),ISNUMBER(Q300)),P300-Q300,"")</x:f>
      </x:c>
      <x:c r="S300" s="13" t="str">
        <x:f>IF(COUNT(H300,J300)=2,J300-H300,"")</x:f>
      </x:c>
      <x:c r="T300" s="13" t="str">
        <x:f>IF(COUNT(I300,K300)=2,K300-I300,"")</x:f>
      </x:c>
      <x:c r="U300" s="10" t="str">
        <x:f>IF(NOT(OR(A300&lt;&gt;"",B300&lt;&gt;"",COUNT(D300:N300)&gt;0)),"",IF(OR(A300="",B300="",COUNT(D300:E300,H300:I300,L300:N300)&lt;&gt;7),"ناقص",IF(OR(MIN(D300:E300,H300:I300,L300:N300)&lt;0,Q300&lt;0),"ورودی نامعتبر",IF(R300&lt;0,"کسری",IF(R300&gt;0,"اضافه","بدون مغایرت")))))</x:f>
      </x:c>
      <x:c r="V300" s="10" t="str">
        <x:f>IF(OR(A300="",B300=""),"",IF(COUNTIFS($A$8:$A$507,A300,$B$8:$B$507,B300)&gt;1,"ثبت تکراری",""))</x:f>
      </x:c>
      <x:c r="W300" s="9"/>
    </x:row>
    <x:row r="301" ht="25" customHeight="1">
      <x:c r="A301" s="11"/>
      <x:c r="B301" s="11"/>
      <x:c r="C301" s="11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3" t="str">
        <x:f>IF(COUNT(D301:E301)=2,SUM(D301:E301),"")</x:f>
      </x:c>
      <x:c r="P301" s="13" t="str">
        <x:f>IF(COUNT(H301:I301)=2,SUM(H301:I301),"")</x:f>
      </x:c>
      <x:c r="Q301" s="13" t="str">
        <x:f>IF(AND(ISNUMBER(O301),COUNT(L301:N301)=3),O301+L301-M301-N301,"")</x:f>
      </x:c>
      <x:c r="R301" s="13" t="str">
        <x:f>IF(AND(A301&lt;&gt;"",B301&lt;&gt;"",ISNUMBER(P301),ISNUMBER(Q301)),P301-Q301,"")</x:f>
      </x:c>
      <x:c r="S301" s="13" t="str">
        <x:f>IF(COUNT(H301,J301)=2,J301-H301,"")</x:f>
      </x:c>
      <x:c r="T301" s="13" t="str">
        <x:f>IF(COUNT(I301,K301)=2,K301-I301,"")</x:f>
      </x:c>
      <x:c r="U301" s="10" t="str">
        <x:f>IF(NOT(OR(A301&lt;&gt;"",B301&lt;&gt;"",COUNT(D301:N301)&gt;0)),"",IF(OR(A301="",B301="",COUNT(D301:E301,H301:I301,L301:N301)&lt;&gt;7),"ناقص",IF(OR(MIN(D301:E301,H301:I301,L301:N301)&lt;0,Q301&lt;0),"ورودی نامعتبر",IF(R301&lt;0,"کسری",IF(R301&gt;0,"اضافه","بدون مغایرت")))))</x:f>
      </x:c>
      <x:c r="V301" s="10" t="str">
        <x:f>IF(OR(A301="",B301=""),"",IF(COUNTIFS($A$8:$A$507,A301,$B$8:$B$507,B301)&gt;1,"ثبت تکراری",""))</x:f>
      </x:c>
      <x:c r="W301" s="9"/>
    </x:row>
    <x:row r="302" ht="25" customHeight="1">
      <x:c r="A302" s="11"/>
      <x:c r="B302" s="11"/>
      <x:c r="C302" s="11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3" t="str">
        <x:f>IF(COUNT(D302:E302)=2,SUM(D302:E302),"")</x:f>
      </x:c>
      <x:c r="P302" s="13" t="str">
        <x:f>IF(COUNT(H302:I302)=2,SUM(H302:I302),"")</x:f>
      </x:c>
      <x:c r="Q302" s="13" t="str">
        <x:f>IF(AND(ISNUMBER(O302),COUNT(L302:N302)=3),O302+L302-M302-N302,"")</x:f>
      </x:c>
      <x:c r="R302" s="13" t="str">
        <x:f>IF(AND(A302&lt;&gt;"",B302&lt;&gt;"",ISNUMBER(P302),ISNUMBER(Q302)),P302-Q302,"")</x:f>
      </x:c>
      <x:c r="S302" s="13" t="str">
        <x:f>IF(COUNT(H302,J302)=2,J302-H302,"")</x:f>
      </x:c>
      <x:c r="T302" s="13" t="str">
        <x:f>IF(COUNT(I302,K302)=2,K302-I302,"")</x:f>
      </x:c>
      <x:c r="U302" s="10" t="str">
        <x:f>IF(NOT(OR(A302&lt;&gt;"",B302&lt;&gt;"",COUNT(D302:N302)&gt;0)),"",IF(OR(A302="",B302="",COUNT(D302:E302,H302:I302,L302:N302)&lt;&gt;7),"ناقص",IF(OR(MIN(D302:E302,H302:I302,L302:N302)&lt;0,Q302&lt;0),"ورودی نامعتبر",IF(R302&lt;0,"کسری",IF(R302&gt;0,"اضافه","بدون مغایرت")))))</x:f>
      </x:c>
      <x:c r="V302" s="10" t="str">
        <x:f>IF(OR(A302="",B302=""),"",IF(COUNTIFS($A$8:$A$507,A302,$B$8:$B$507,B302)&gt;1,"ثبت تکراری",""))</x:f>
      </x:c>
      <x:c r="W302" s="9"/>
    </x:row>
    <x:row r="303" ht="25" customHeight="1">
      <x:c r="A303" s="11"/>
      <x:c r="B303" s="11"/>
      <x:c r="C303" s="11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3" t="str">
        <x:f>IF(COUNT(D303:E303)=2,SUM(D303:E303),"")</x:f>
      </x:c>
      <x:c r="P303" s="13" t="str">
        <x:f>IF(COUNT(H303:I303)=2,SUM(H303:I303),"")</x:f>
      </x:c>
      <x:c r="Q303" s="13" t="str">
        <x:f>IF(AND(ISNUMBER(O303),COUNT(L303:N303)=3),O303+L303-M303-N303,"")</x:f>
      </x:c>
      <x:c r="R303" s="13" t="str">
        <x:f>IF(AND(A303&lt;&gt;"",B303&lt;&gt;"",ISNUMBER(P303),ISNUMBER(Q303)),P303-Q303,"")</x:f>
      </x:c>
      <x:c r="S303" s="13" t="str">
        <x:f>IF(COUNT(H303,J303)=2,J303-H303,"")</x:f>
      </x:c>
      <x:c r="T303" s="13" t="str">
        <x:f>IF(COUNT(I303,K303)=2,K303-I303,"")</x:f>
      </x:c>
      <x:c r="U303" s="10" t="str">
        <x:f>IF(NOT(OR(A303&lt;&gt;"",B303&lt;&gt;"",COUNT(D303:N303)&gt;0)),"",IF(OR(A303="",B303="",COUNT(D303:E303,H303:I303,L303:N303)&lt;&gt;7),"ناقص",IF(OR(MIN(D303:E303,H303:I303,L303:N303)&lt;0,Q303&lt;0),"ورودی نامعتبر",IF(R303&lt;0,"کسری",IF(R303&gt;0,"اضافه","بدون مغایرت")))))</x:f>
      </x:c>
      <x:c r="V303" s="10" t="str">
        <x:f>IF(OR(A303="",B303=""),"",IF(COUNTIFS($A$8:$A$507,A303,$B$8:$B$507,B303)&gt;1,"ثبت تکراری",""))</x:f>
      </x:c>
      <x:c r="W303" s="9"/>
    </x:row>
    <x:row r="304" ht="25" customHeight="1">
      <x:c r="A304" s="11"/>
      <x:c r="B304" s="11"/>
      <x:c r="C304" s="11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3" t="str">
        <x:f>IF(COUNT(D304:E304)=2,SUM(D304:E304),"")</x:f>
      </x:c>
      <x:c r="P304" s="13" t="str">
        <x:f>IF(COUNT(H304:I304)=2,SUM(H304:I304),"")</x:f>
      </x:c>
      <x:c r="Q304" s="13" t="str">
        <x:f>IF(AND(ISNUMBER(O304),COUNT(L304:N304)=3),O304+L304-M304-N304,"")</x:f>
      </x:c>
      <x:c r="R304" s="13" t="str">
        <x:f>IF(AND(A304&lt;&gt;"",B304&lt;&gt;"",ISNUMBER(P304),ISNUMBER(Q304)),P304-Q304,"")</x:f>
      </x:c>
      <x:c r="S304" s="13" t="str">
        <x:f>IF(COUNT(H304,J304)=2,J304-H304,"")</x:f>
      </x:c>
      <x:c r="T304" s="13" t="str">
        <x:f>IF(COUNT(I304,K304)=2,K304-I304,"")</x:f>
      </x:c>
      <x:c r="U304" s="10" t="str">
        <x:f>IF(NOT(OR(A304&lt;&gt;"",B304&lt;&gt;"",COUNT(D304:N304)&gt;0)),"",IF(OR(A304="",B304="",COUNT(D304:E304,H304:I304,L304:N304)&lt;&gt;7),"ناقص",IF(OR(MIN(D304:E304,H304:I304,L304:N304)&lt;0,Q304&lt;0),"ورودی نامعتبر",IF(R304&lt;0,"کسری",IF(R304&gt;0,"اضافه","بدون مغایرت")))))</x:f>
      </x:c>
      <x:c r="V304" s="10" t="str">
        <x:f>IF(OR(A304="",B304=""),"",IF(COUNTIFS($A$8:$A$507,A304,$B$8:$B$507,B304)&gt;1,"ثبت تکراری",""))</x:f>
      </x:c>
      <x:c r="W304" s="9"/>
    </x:row>
    <x:row r="305" ht="25" customHeight="1">
      <x:c r="A305" s="11"/>
      <x:c r="B305" s="11"/>
      <x:c r="C305" s="11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3" t="str">
        <x:f>IF(COUNT(D305:E305)=2,SUM(D305:E305),"")</x:f>
      </x:c>
      <x:c r="P305" s="13" t="str">
        <x:f>IF(COUNT(H305:I305)=2,SUM(H305:I305),"")</x:f>
      </x:c>
      <x:c r="Q305" s="13" t="str">
        <x:f>IF(AND(ISNUMBER(O305),COUNT(L305:N305)=3),O305+L305-M305-N305,"")</x:f>
      </x:c>
      <x:c r="R305" s="13" t="str">
        <x:f>IF(AND(A305&lt;&gt;"",B305&lt;&gt;"",ISNUMBER(P305),ISNUMBER(Q305)),P305-Q305,"")</x:f>
      </x:c>
      <x:c r="S305" s="13" t="str">
        <x:f>IF(COUNT(H305,J305)=2,J305-H305,"")</x:f>
      </x:c>
      <x:c r="T305" s="13" t="str">
        <x:f>IF(COUNT(I305,K305)=2,K305-I305,"")</x:f>
      </x:c>
      <x:c r="U305" s="10" t="str">
        <x:f>IF(NOT(OR(A305&lt;&gt;"",B305&lt;&gt;"",COUNT(D305:N305)&gt;0)),"",IF(OR(A305="",B305="",COUNT(D305:E305,H305:I305,L305:N305)&lt;&gt;7),"ناقص",IF(OR(MIN(D305:E305,H305:I305,L305:N305)&lt;0,Q305&lt;0),"ورودی نامعتبر",IF(R305&lt;0,"کسری",IF(R305&gt;0,"اضافه","بدون مغایرت")))))</x:f>
      </x:c>
      <x:c r="V305" s="10" t="str">
        <x:f>IF(OR(A305="",B305=""),"",IF(COUNTIFS($A$8:$A$507,A305,$B$8:$B$507,B305)&gt;1,"ثبت تکراری",""))</x:f>
      </x:c>
      <x:c r="W305" s="9"/>
    </x:row>
    <x:row r="306" ht="25" customHeight="1">
      <x:c r="A306" s="11"/>
      <x:c r="B306" s="11"/>
      <x:c r="C306" s="11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3" t="str">
        <x:f>IF(COUNT(D306:E306)=2,SUM(D306:E306),"")</x:f>
      </x:c>
      <x:c r="P306" s="13" t="str">
        <x:f>IF(COUNT(H306:I306)=2,SUM(H306:I306),"")</x:f>
      </x:c>
      <x:c r="Q306" s="13" t="str">
        <x:f>IF(AND(ISNUMBER(O306),COUNT(L306:N306)=3),O306+L306-M306-N306,"")</x:f>
      </x:c>
      <x:c r="R306" s="13" t="str">
        <x:f>IF(AND(A306&lt;&gt;"",B306&lt;&gt;"",ISNUMBER(P306),ISNUMBER(Q306)),P306-Q306,"")</x:f>
      </x:c>
      <x:c r="S306" s="13" t="str">
        <x:f>IF(COUNT(H306,J306)=2,J306-H306,"")</x:f>
      </x:c>
      <x:c r="T306" s="13" t="str">
        <x:f>IF(COUNT(I306,K306)=2,K306-I306,"")</x:f>
      </x:c>
      <x:c r="U306" s="10" t="str">
        <x:f>IF(NOT(OR(A306&lt;&gt;"",B306&lt;&gt;"",COUNT(D306:N306)&gt;0)),"",IF(OR(A306="",B306="",COUNT(D306:E306,H306:I306,L306:N306)&lt;&gt;7),"ناقص",IF(OR(MIN(D306:E306,H306:I306,L306:N306)&lt;0,Q306&lt;0),"ورودی نامعتبر",IF(R306&lt;0,"کسری",IF(R306&gt;0,"اضافه","بدون مغایرت")))))</x:f>
      </x:c>
      <x:c r="V306" s="10" t="str">
        <x:f>IF(OR(A306="",B306=""),"",IF(COUNTIFS($A$8:$A$507,A306,$B$8:$B$507,B306)&gt;1,"ثبت تکراری",""))</x:f>
      </x:c>
      <x:c r="W306" s="9"/>
    </x:row>
    <x:row r="307" ht="25" customHeight="1">
      <x:c r="A307" s="11"/>
      <x:c r="B307" s="11"/>
      <x:c r="C307" s="11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3" t="str">
        <x:f>IF(COUNT(D307:E307)=2,SUM(D307:E307),"")</x:f>
      </x:c>
      <x:c r="P307" s="13" t="str">
        <x:f>IF(COUNT(H307:I307)=2,SUM(H307:I307),"")</x:f>
      </x:c>
      <x:c r="Q307" s="13" t="str">
        <x:f>IF(AND(ISNUMBER(O307),COUNT(L307:N307)=3),O307+L307-M307-N307,"")</x:f>
      </x:c>
      <x:c r="R307" s="13" t="str">
        <x:f>IF(AND(A307&lt;&gt;"",B307&lt;&gt;"",ISNUMBER(P307),ISNUMBER(Q307)),P307-Q307,"")</x:f>
      </x:c>
      <x:c r="S307" s="13" t="str">
        <x:f>IF(COUNT(H307,J307)=2,J307-H307,"")</x:f>
      </x:c>
      <x:c r="T307" s="13" t="str">
        <x:f>IF(COUNT(I307,K307)=2,K307-I307,"")</x:f>
      </x:c>
      <x:c r="U307" s="10" t="str">
        <x:f>IF(NOT(OR(A307&lt;&gt;"",B307&lt;&gt;"",COUNT(D307:N307)&gt;0)),"",IF(OR(A307="",B307="",COUNT(D307:E307,H307:I307,L307:N307)&lt;&gt;7),"ناقص",IF(OR(MIN(D307:E307,H307:I307,L307:N307)&lt;0,Q307&lt;0),"ورودی نامعتبر",IF(R307&lt;0,"کسری",IF(R307&gt;0,"اضافه","بدون مغایرت")))))</x:f>
      </x:c>
      <x:c r="V307" s="10" t="str">
        <x:f>IF(OR(A307="",B307=""),"",IF(COUNTIFS($A$8:$A$507,A307,$B$8:$B$507,B307)&gt;1,"ثبت تکراری",""))</x:f>
      </x:c>
      <x:c r="W307" s="9"/>
    </x:row>
    <x:row r="308" ht="25" customHeight="1">
      <x:c r="A308" s="11"/>
      <x:c r="B308" s="11"/>
      <x:c r="C308" s="11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3" t="str">
        <x:f>IF(COUNT(D308:E308)=2,SUM(D308:E308),"")</x:f>
      </x:c>
      <x:c r="P308" s="13" t="str">
        <x:f>IF(COUNT(H308:I308)=2,SUM(H308:I308),"")</x:f>
      </x:c>
      <x:c r="Q308" s="13" t="str">
        <x:f>IF(AND(ISNUMBER(O308),COUNT(L308:N308)=3),O308+L308-M308-N308,"")</x:f>
      </x:c>
      <x:c r="R308" s="13" t="str">
        <x:f>IF(AND(A308&lt;&gt;"",B308&lt;&gt;"",ISNUMBER(P308),ISNUMBER(Q308)),P308-Q308,"")</x:f>
      </x:c>
      <x:c r="S308" s="13" t="str">
        <x:f>IF(COUNT(H308,J308)=2,J308-H308,"")</x:f>
      </x:c>
      <x:c r="T308" s="13" t="str">
        <x:f>IF(COUNT(I308,K308)=2,K308-I308,"")</x:f>
      </x:c>
      <x:c r="U308" s="10" t="str">
        <x:f>IF(NOT(OR(A308&lt;&gt;"",B308&lt;&gt;"",COUNT(D308:N308)&gt;0)),"",IF(OR(A308="",B308="",COUNT(D308:E308,H308:I308,L308:N308)&lt;&gt;7),"ناقص",IF(OR(MIN(D308:E308,H308:I308,L308:N308)&lt;0,Q308&lt;0),"ورودی نامعتبر",IF(R308&lt;0,"کسری",IF(R308&gt;0,"اضافه","بدون مغایرت")))))</x:f>
      </x:c>
      <x:c r="V308" s="10" t="str">
        <x:f>IF(OR(A308="",B308=""),"",IF(COUNTIFS($A$8:$A$507,A308,$B$8:$B$507,B308)&gt;1,"ثبت تکراری",""))</x:f>
      </x:c>
      <x:c r="W308" s="9"/>
    </x:row>
    <x:row r="309" ht="25" customHeight="1">
      <x:c r="A309" s="11"/>
      <x:c r="B309" s="11"/>
      <x:c r="C309" s="11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3" t="str">
        <x:f>IF(COUNT(D309:E309)=2,SUM(D309:E309),"")</x:f>
      </x:c>
      <x:c r="P309" s="13" t="str">
        <x:f>IF(COUNT(H309:I309)=2,SUM(H309:I309),"")</x:f>
      </x:c>
      <x:c r="Q309" s="13" t="str">
        <x:f>IF(AND(ISNUMBER(O309),COUNT(L309:N309)=3),O309+L309-M309-N309,"")</x:f>
      </x:c>
      <x:c r="R309" s="13" t="str">
        <x:f>IF(AND(A309&lt;&gt;"",B309&lt;&gt;"",ISNUMBER(P309),ISNUMBER(Q309)),P309-Q309,"")</x:f>
      </x:c>
      <x:c r="S309" s="13" t="str">
        <x:f>IF(COUNT(H309,J309)=2,J309-H309,"")</x:f>
      </x:c>
      <x:c r="T309" s="13" t="str">
        <x:f>IF(COUNT(I309,K309)=2,K309-I309,"")</x:f>
      </x:c>
      <x:c r="U309" s="10" t="str">
        <x:f>IF(NOT(OR(A309&lt;&gt;"",B309&lt;&gt;"",COUNT(D309:N309)&gt;0)),"",IF(OR(A309="",B309="",COUNT(D309:E309,H309:I309,L309:N309)&lt;&gt;7),"ناقص",IF(OR(MIN(D309:E309,H309:I309,L309:N309)&lt;0,Q309&lt;0),"ورودی نامعتبر",IF(R309&lt;0,"کسری",IF(R309&gt;0,"اضافه","بدون مغایرت")))))</x:f>
      </x:c>
      <x:c r="V309" s="10" t="str">
        <x:f>IF(OR(A309="",B309=""),"",IF(COUNTIFS($A$8:$A$507,A309,$B$8:$B$507,B309)&gt;1,"ثبت تکراری",""))</x:f>
      </x:c>
      <x:c r="W309" s="9"/>
    </x:row>
    <x:row r="310" ht="25" customHeight="1">
      <x:c r="A310" s="11"/>
      <x:c r="B310" s="11"/>
      <x:c r="C310" s="11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3" t="str">
        <x:f>IF(COUNT(D310:E310)=2,SUM(D310:E310),"")</x:f>
      </x:c>
      <x:c r="P310" s="13" t="str">
        <x:f>IF(COUNT(H310:I310)=2,SUM(H310:I310),"")</x:f>
      </x:c>
      <x:c r="Q310" s="13" t="str">
        <x:f>IF(AND(ISNUMBER(O310),COUNT(L310:N310)=3),O310+L310-M310-N310,"")</x:f>
      </x:c>
      <x:c r="R310" s="13" t="str">
        <x:f>IF(AND(A310&lt;&gt;"",B310&lt;&gt;"",ISNUMBER(P310),ISNUMBER(Q310)),P310-Q310,"")</x:f>
      </x:c>
      <x:c r="S310" s="13" t="str">
        <x:f>IF(COUNT(H310,J310)=2,J310-H310,"")</x:f>
      </x:c>
      <x:c r="T310" s="13" t="str">
        <x:f>IF(COUNT(I310,K310)=2,K310-I310,"")</x:f>
      </x:c>
      <x:c r="U310" s="10" t="str">
        <x:f>IF(NOT(OR(A310&lt;&gt;"",B310&lt;&gt;"",COUNT(D310:N310)&gt;0)),"",IF(OR(A310="",B310="",COUNT(D310:E310,H310:I310,L310:N310)&lt;&gt;7),"ناقص",IF(OR(MIN(D310:E310,H310:I310,L310:N310)&lt;0,Q310&lt;0),"ورودی نامعتبر",IF(R310&lt;0,"کسری",IF(R310&gt;0,"اضافه","بدون مغایرت")))))</x:f>
      </x:c>
      <x:c r="V310" s="10" t="str">
        <x:f>IF(OR(A310="",B310=""),"",IF(COUNTIFS($A$8:$A$507,A310,$B$8:$B$507,B310)&gt;1,"ثبت تکراری",""))</x:f>
      </x:c>
      <x:c r="W310" s="9"/>
    </x:row>
    <x:row r="311" ht="25" customHeight="1">
      <x:c r="A311" s="11"/>
      <x:c r="B311" s="11"/>
      <x:c r="C311" s="11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3" t="str">
        <x:f>IF(COUNT(D311:E311)=2,SUM(D311:E311),"")</x:f>
      </x:c>
      <x:c r="P311" s="13" t="str">
        <x:f>IF(COUNT(H311:I311)=2,SUM(H311:I311),"")</x:f>
      </x:c>
      <x:c r="Q311" s="13" t="str">
        <x:f>IF(AND(ISNUMBER(O311),COUNT(L311:N311)=3),O311+L311-M311-N311,"")</x:f>
      </x:c>
      <x:c r="R311" s="13" t="str">
        <x:f>IF(AND(A311&lt;&gt;"",B311&lt;&gt;"",ISNUMBER(P311),ISNUMBER(Q311)),P311-Q311,"")</x:f>
      </x:c>
      <x:c r="S311" s="13" t="str">
        <x:f>IF(COUNT(H311,J311)=2,J311-H311,"")</x:f>
      </x:c>
      <x:c r="T311" s="13" t="str">
        <x:f>IF(COUNT(I311,K311)=2,K311-I311,"")</x:f>
      </x:c>
      <x:c r="U311" s="10" t="str">
        <x:f>IF(NOT(OR(A311&lt;&gt;"",B311&lt;&gt;"",COUNT(D311:N311)&gt;0)),"",IF(OR(A311="",B311="",COUNT(D311:E311,H311:I311,L311:N311)&lt;&gt;7),"ناقص",IF(OR(MIN(D311:E311,H311:I311,L311:N311)&lt;0,Q311&lt;0),"ورودی نامعتبر",IF(R311&lt;0,"کسری",IF(R311&gt;0,"اضافه","بدون مغایرت")))))</x:f>
      </x:c>
      <x:c r="V311" s="10" t="str">
        <x:f>IF(OR(A311="",B311=""),"",IF(COUNTIFS($A$8:$A$507,A311,$B$8:$B$507,B311)&gt;1,"ثبت تکراری",""))</x:f>
      </x:c>
      <x:c r="W311" s="9"/>
    </x:row>
    <x:row r="312" ht="25" customHeight="1">
      <x:c r="A312" s="11"/>
      <x:c r="B312" s="11"/>
      <x:c r="C312" s="11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3" t="str">
        <x:f>IF(COUNT(D312:E312)=2,SUM(D312:E312),"")</x:f>
      </x:c>
      <x:c r="P312" s="13" t="str">
        <x:f>IF(COUNT(H312:I312)=2,SUM(H312:I312),"")</x:f>
      </x:c>
      <x:c r="Q312" s="13" t="str">
        <x:f>IF(AND(ISNUMBER(O312),COUNT(L312:N312)=3),O312+L312-M312-N312,"")</x:f>
      </x:c>
      <x:c r="R312" s="13" t="str">
        <x:f>IF(AND(A312&lt;&gt;"",B312&lt;&gt;"",ISNUMBER(P312),ISNUMBER(Q312)),P312-Q312,"")</x:f>
      </x:c>
      <x:c r="S312" s="13" t="str">
        <x:f>IF(COUNT(H312,J312)=2,J312-H312,"")</x:f>
      </x:c>
      <x:c r="T312" s="13" t="str">
        <x:f>IF(COUNT(I312,K312)=2,K312-I312,"")</x:f>
      </x:c>
      <x:c r="U312" s="10" t="str">
        <x:f>IF(NOT(OR(A312&lt;&gt;"",B312&lt;&gt;"",COUNT(D312:N312)&gt;0)),"",IF(OR(A312="",B312="",COUNT(D312:E312,H312:I312,L312:N312)&lt;&gt;7),"ناقص",IF(OR(MIN(D312:E312,H312:I312,L312:N312)&lt;0,Q312&lt;0),"ورودی نامعتبر",IF(R312&lt;0,"کسری",IF(R312&gt;0,"اضافه","بدون مغایرت")))))</x:f>
      </x:c>
      <x:c r="V312" s="10" t="str">
        <x:f>IF(OR(A312="",B312=""),"",IF(COUNTIFS($A$8:$A$507,A312,$B$8:$B$507,B312)&gt;1,"ثبت تکراری",""))</x:f>
      </x:c>
      <x:c r="W312" s="9"/>
    </x:row>
    <x:row r="313" ht="25" customHeight="1">
      <x:c r="A313" s="11"/>
      <x:c r="B313" s="11"/>
      <x:c r="C313" s="11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3" t="str">
        <x:f>IF(COUNT(D313:E313)=2,SUM(D313:E313),"")</x:f>
      </x:c>
      <x:c r="P313" s="13" t="str">
        <x:f>IF(COUNT(H313:I313)=2,SUM(H313:I313),"")</x:f>
      </x:c>
      <x:c r="Q313" s="13" t="str">
        <x:f>IF(AND(ISNUMBER(O313),COUNT(L313:N313)=3),O313+L313-M313-N313,"")</x:f>
      </x:c>
      <x:c r="R313" s="13" t="str">
        <x:f>IF(AND(A313&lt;&gt;"",B313&lt;&gt;"",ISNUMBER(P313),ISNUMBER(Q313)),P313-Q313,"")</x:f>
      </x:c>
      <x:c r="S313" s="13" t="str">
        <x:f>IF(COUNT(H313,J313)=2,J313-H313,"")</x:f>
      </x:c>
      <x:c r="T313" s="13" t="str">
        <x:f>IF(COUNT(I313,K313)=2,K313-I313,"")</x:f>
      </x:c>
      <x:c r="U313" s="10" t="str">
        <x:f>IF(NOT(OR(A313&lt;&gt;"",B313&lt;&gt;"",COUNT(D313:N313)&gt;0)),"",IF(OR(A313="",B313="",COUNT(D313:E313,H313:I313,L313:N313)&lt;&gt;7),"ناقص",IF(OR(MIN(D313:E313,H313:I313,L313:N313)&lt;0,Q313&lt;0),"ورودی نامعتبر",IF(R313&lt;0,"کسری",IF(R313&gt;0,"اضافه","بدون مغایرت")))))</x:f>
      </x:c>
      <x:c r="V313" s="10" t="str">
        <x:f>IF(OR(A313="",B313=""),"",IF(COUNTIFS($A$8:$A$507,A313,$B$8:$B$507,B313)&gt;1,"ثبت تکراری",""))</x:f>
      </x:c>
      <x:c r="W313" s="9"/>
    </x:row>
    <x:row r="314" ht="25" customHeight="1">
      <x:c r="A314" s="11"/>
      <x:c r="B314" s="11"/>
      <x:c r="C314" s="11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3" t="str">
        <x:f>IF(COUNT(D314:E314)=2,SUM(D314:E314),"")</x:f>
      </x:c>
      <x:c r="P314" s="13" t="str">
        <x:f>IF(COUNT(H314:I314)=2,SUM(H314:I314),"")</x:f>
      </x:c>
      <x:c r="Q314" s="13" t="str">
        <x:f>IF(AND(ISNUMBER(O314),COUNT(L314:N314)=3),O314+L314-M314-N314,"")</x:f>
      </x:c>
      <x:c r="R314" s="13" t="str">
        <x:f>IF(AND(A314&lt;&gt;"",B314&lt;&gt;"",ISNUMBER(P314),ISNUMBER(Q314)),P314-Q314,"")</x:f>
      </x:c>
      <x:c r="S314" s="13" t="str">
        <x:f>IF(COUNT(H314,J314)=2,J314-H314,"")</x:f>
      </x:c>
      <x:c r="T314" s="13" t="str">
        <x:f>IF(COUNT(I314,K314)=2,K314-I314,"")</x:f>
      </x:c>
      <x:c r="U314" s="10" t="str">
        <x:f>IF(NOT(OR(A314&lt;&gt;"",B314&lt;&gt;"",COUNT(D314:N314)&gt;0)),"",IF(OR(A314="",B314="",COUNT(D314:E314,H314:I314,L314:N314)&lt;&gt;7),"ناقص",IF(OR(MIN(D314:E314,H314:I314,L314:N314)&lt;0,Q314&lt;0),"ورودی نامعتبر",IF(R314&lt;0,"کسری",IF(R314&gt;0,"اضافه","بدون مغایرت")))))</x:f>
      </x:c>
      <x:c r="V314" s="10" t="str">
        <x:f>IF(OR(A314="",B314=""),"",IF(COUNTIFS($A$8:$A$507,A314,$B$8:$B$507,B314)&gt;1,"ثبت تکراری",""))</x:f>
      </x:c>
      <x:c r="W314" s="9"/>
    </x:row>
    <x:row r="315" ht="25" customHeight="1">
      <x:c r="A315" s="11"/>
      <x:c r="B315" s="11"/>
      <x:c r="C315" s="11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3" t="str">
        <x:f>IF(COUNT(D315:E315)=2,SUM(D315:E315),"")</x:f>
      </x:c>
      <x:c r="P315" s="13" t="str">
        <x:f>IF(COUNT(H315:I315)=2,SUM(H315:I315),"")</x:f>
      </x:c>
      <x:c r="Q315" s="13" t="str">
        <x:f>IF(AND(ISNUMBER(O315),COUNT(L315:N315)=3),O315+L315-M315-N315,"")</x:f>
      </x:c>
      <x:c r="R315" s="13" t="str">
        <x:f>IF(AND(A315&lt;&gt;"",B315&lt;&gt;"",ISNUMBER(P315),ISNUMBER(Q315)),P315-Q315,"")</x:f>
      </x:c>
      <x:c r="S315" s="13" t="str">
        <x:f>IF(COUNT(H315,J315)=2,J315-H315,"")</x:f>
      </x:c>
      <x:c r="T315" s="13" t="str">
        <x:f>IF(COUNT(I315,K315)=2,K315-I315,"")</x:f>
      </x:c>
      <x:c r="U315" s="10" t="str">
        <x:f>IF(NOT(OR(A315&lt;&gt;"",B315&lt;&gt;"",COUNT(D315:N315)&gt;0)),"",IF(OR(A315="",B315="",COUNT(D315:E315,H315:I315,L315:N315)&lt;&gt;7),"ناقص",IF(OR(MIN(D315:E315,H315:I315,L315:N315)&lt;0,Q315&lt;0),"ورودی نامعتبر",IF(R315&lt;0,"کسری",IF(R315&gt;0,"اضافه","بدون مغایرت")))))</x:f>
      </x:c>
      <x:c r="V315" s="10" t="str">
        <x:f>IF(OR(A315="",B315=""),"",IF(COUNTIFS($A$8:$A$507,A315,$B$8:$B$507,B315)&gt;1,"ثبت تکراری",""))</x:f>
      </x:c>
      <x:c r="W315" s="9"/>
    </x:row>
    <x:row r="316" ht="25" customHeight="1">
      <x:c r="A316" s="11"/>
      <x:c r="B316" s="11"/>
      <x:c r="C316" s="11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3" t="str">
        <x:f>IF(COUNT(D316:E316)=2,SUM(D316:E316),"")</x:f>
      </x:c>
      <x:c r="P316" s="13" t="str">
        <x:f>IF(COUNT(H316:I316)=2,SUM(H316:I316),"")</x:f>
      </x:c>
      <x:c r="Q316" s="13" t="str">
        <x:f>IF(AND(ISNUMBER(O316),COUNT(L316:N316)=3),O316+L316-M316-N316,"")</x:f>
      </x:c>
      <x:c r="R316" s="13" t="str">
        <x:f>IF(AND(A316&lt;&gt;"",B316&lt;&gt;"",ISNUMBER(P316),ISNUMBER(Q316)),P316-Q316,"")</x:f>
      </x:c>
      <x:c r="S316" s="13" t="str">
        <x:f>IF(COUNT(H316,J316)=2,J316-H316,"")</x:f>
      </x:c>
      <x:c r="T316" s="13" t="str">
        <x:f>IF(COUNT(I316,K316)=2,K316-I316,"")</x:f>
      </x:c>
      <x:c r="U316" s="10" t="str">
        <x:f>IF(NOT(OR(A316&lt;&gt;"",B316&lt;&gt;"",COUNT(D316:N316)&gt;0)),"",IF(OR(A316="",B316="",COUNT(D316:E316,H316:I316,L316:N316)&lt;&gt;7),"ناقص",IF(OR(MIN(D316:E316,H316:I316,L316:N316)&lt;0,Q316&lt;0),"ورودی نامعتبر",IF(R316&lt;0,"کسری",IF(R316&gt;0,"اضافه","بدون مغایرت")))))</x:f>
      </x:c>
      <x:c r="V316" s="10" t="str">
        <x:f>IF(OR(A316="",B316=""),"",IF(COUNTIFS($A$8:$A$507,A316,$B$8:$B$507,B316)&gt;1,"ثبت تکراری",""))</x:f>
      </x:c>
      <x:c r="W316" s="9"/>
    </x:row>
    <x:row r="317" ht="25" customHeight="1">
      <x:c r="A317" s="11"/>
      <x:c r="B317" s="11"/>
      <x:c r="C317" s="11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3" t="str">
        <x:f>IF(COUNT(D317:E317)=2,SUM(D317:E317),"")</x:f>
      </x:c>
      <x:c r="P317" s="13" t="str">
        <x:f>IF(COUNT(H317:I317)=2,SUM(H317:I317),"")</x:f>
      </x:c>
      <x:c r="Q317" s="13" t="str">
        <x:f>IF(AND(ISNUMBER(O317),COUNT(L317:N317)=3),O317+L317-M317-N317,"")</x:f>
      </x:c>
      <x:c r="R317" s="13" t="str">
        <x:f>IF(AND(A317&lt;&gt;"",B317&lt;&gt;"",ISNUMBER(P317),ISNUMBER(Q317)),P317-Q317,"")</x:f>
      </x:c>
      <x:c r="S317" s="13" t="str">
        <x:f>IF(COUNT(H317,J317)=2,J317-H317,"")</x:f>
      </x:c>
      <x:c r="T317" s="13" t="str">
        <x:f>IF(COUNT(I317,K317)=2,K317-I317,"")</x:f>
      </x:c>
      <x:c r="U317" s="10" t="str">
        <x:f>IF(NOT(OR(A317&lt;&gt;"",B317&lt;&gt;"",COUNT(D317:N317)&gt;0)),"",IF(OR(A317="",B317="",COUNT(D317:E317,H317:I317,L317:N317)&lt;&gt;7),"ناقص",IF(OR(MIN(D317:E317,H317:I317,L317:N317)&lt;0,Q317&lt;0),"ورودی نامعتبر",IF(R317&lt;0,"کسری",IF(R317&gt;0,"اضافه","بدون مغایرت")))))</x:f>
      </x:c>
      <x:c r="V317" s="10" t="str">
        <x:f>IF(OR(A317="",B317=""),"",IF(COUNTIFS($A$8:$A$507,A317,$B$8:$B$507,B317)&gt;1,"ثبت تکراری",""))</x:f>
      </x:c>
      <x:c r="W317" s="9"/>
    </x:row>
    <x:row r="318" ht="25" customHeight="1">
      <x:c r="A318" s="11"/>
      <x:c r="B318" s="11"/>
      <x:c r="C318" s="11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3" t="str">
        <x:f>IF(COUNT(D318:E318)=2,SUM(D318:E318),"")</x:f>
      </x:c>
      <x:c r="P318" s="13" t="str">
        <x:f>IF(COUNT(H318:I318)=2,SUM(H318:I318),"")</x:f>
      </x:c>
      <x:c r="Q318" s="13" t="str">
        <x:f>IF(AND(ISNUMBER(O318),COUNT(L318:N318)=3),O318+L318-M318-N318,"")</x:f>
      </x:c>
      <x:c r="R318" s="13" t="str">
        <x:f>IF(AND(A318&lt;&gt;"",B318&lt;&gt;"",ISNUMBER(P318),ISNUMBER(Q318)),P318-Q318,"")</x:f>
      </x:c>
      <x:c r="S318" s="13" t="str">
        <x:f>IF(COUNT(H318,J318)=2,J318-H318,"")</x:f>
      </x:c>
      <x:c r="T318" s="13" t="str">
        <x:f>IF(COUNT(I318,K318)=2,K318-I318,"")</x:f>
      </x:c>
      <x:c r="U318" s="10" t="str">
        <x:f>IF(NOT(OR(A318&lt;&gt;"",B318&lt;&gt;"",COUNT(D318:N318)&gt;0)),"",IF(OR(A318="",B318="",COUNT(D318:E318,H318:I318,L318:N318)&lt;&gt;7),"ناقص",IF(OR(MIN(D318:E318,H318:I318,L318:N318)&lt;0,Q318&lt;0),"ورودی نامعتبر",IF(R318&lt;0,"کسری",IF(R318&gt;0,"اضافه","بدون مغایرت")))))</x:f>
      </x:c>
      <x:c r="V318" s="10" t="str">
        <x:f>IF(OR(A318="",B318=""),"",IF(COUNTIFS($A$8:$A$507,A318,$B$8:$B$507,B318)&gt;1,"ثبت تکراری",""))</x:f>
      </x:c>
      <x:c r="W318" s="9"/>
    </x:row>
    <x:row r="319" ht="25" customHeight="1">
      <x:c r="A319" s="11"/>
      <x:c r="B319" s="11"/>
      <x:c r="C319" s="11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3" t="str">
        <x:f>IF(COUNT(D319:E319)=2,SUM(D319:E319),"")</x:f>
      </x:c>
      <x:c r="P319" s="13" t="str">
        <x:f>IF(COUNT(H319:I319)=2,SUM(H319:I319),"")</x:f>
      </x:c>
      <x:c r="Q319" s="13" t="str">
        <x:f>IF(AND(ISNUMBER(O319),COUNT(L319:N319)=3),O319+L319-M319-N319,"")</x:f>
      </x:c>
      <x:c r="R319" s="13" t="str">
        <x:f>IF(AND(A319&lt;&gt;"",B319&lt;&gt;"",ISNUMBER(P319),ISNUMBER(Q319)),P319-Q319,"")</x:f>
      </x:c>
      <x:c r="S319" s="13" t="str">
        <x:f>IF(COUNT(H319,J319)=2,J319-H319,"")</x:f>
      </x:c>
      <x:c r="T319" s="13" t="str">
        <x:f>IF(COUNT(I319,K319)=2,K319-I319,"")</x:f>
      </x:c>
      <x:c r="U319" s="10" t="str">
        <x:f>IF(NOT(OR(A319&lt;&gt;"",B319&lt;&gt;"",COUNT(D319:N319)&gt;0)),"",IF(OR(A319="",B319="",COUNT(D319:E319,H319:I319,L319:N319)&lt;&gt;7),"ناقص",IF(OR(MIN(D319:E319,H319:I319,L319:N319)&lt;0,Q319&lt;0),"ورودی نامعتبر",IF(R319&lt;0,"کسری",IF(R319&gt;0,"اضافه","بدون مغایرت")))))</x:f>
      </x:c>
      <x:c r="V319" s="10" t="str">
        <x:f>IF(OR(A319="",B319=""),"",IF(COUNTIFS($A$8:$A$507,A319,$B$8:$B$507,B319)&gt;1,"ثبت تکراری",""))</x:f>
      </x:c>
      <x:c r="W319" s="9"/>
    </x:row>
    <x:row r="320" ht="25" customHeight="1">
      <x:c r="A320" s="11"/>
      <x:c r="B320" s="11"/>
      <x:c r="C320" s="11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3" t="str">
        <x:f>IF(COUNT(D320:E320)=2,SUM(D320:E320),"")</x:f>
      </x:c>
      <x:c r="P320" s="13" t="str">
        <x:f>IF(COUNT(H320:I320)=2,SUM(H320:I320),"")</x:f>
      </x:c>
      <x:c r="Q320" s="13" t="str">
        <x:f>IF(AND(ISNUMBER(O320),COUNT(L320:N320)=3),O320+L320-M320-N320,"")</x:f>
      </x:c>
      <x:c r="R320" s="13" t="str">
        <x:f>IF(AND(A320&lt;&gt;"",B320&lt;&gt;"",ISNUMBER(P320),ISNUMBER(Q320)),P320-Q320,"")</x:f>
      </x:c>
      <x:c r="S320" s="13" t="str">
        <x:f>IF(COUNT(H320,J320)=2,J320-H320,"")</x:f>
      </x:c>
      <x:c r="T320" s="13" t="str">
        <x:f>IF(COUNT(I320,K320)=2,K320-I320,"")</x:f>
      </x:c>
      <x:c r="U320" s="10" t="str">
        <x:f>IF(NOT(OR(A320&lt;&gt;"",B320&lt;&gt;"",COUNT(D320:N320)&gt;0)),"",IF(OR(A320="",B320="",COUNT(D320:E320,H320:I320,L320:N320)&lt;&gt;7),"ناقص",IF(OR(MIN(D320:E320,H320:I320,L320:N320)&lt;0,Q320&lt;0),"ورودی نامعتبر",IF(R320&lt;0,"کسری",IF(R320&gt;0,"اضافه","بدون مغایرت")))))</x:f>
      </x:c>
      <x:c r="V320" s="10" t="str">
        <x:f>IF(OR(A320="",B320=""),"",IF(COUNTIFS($A$8:$A$507,A320,$B$8:$B$507,B320)&gt;1,"ثبت تکراری",""))</x:f>
      </x:c>
      <x:c r="W320" s="9"/>
    </x:row>
    <x:row r="321" ht="25" customHeight="1">
      <x:c r="A321" s="11"/>
      <x:c r="B321" s="11"/>
      <x:c r="C321" s="11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3" t="str">
        <x:f>IF(COUNT(D321:E321)=2,SUM(D321:E321),"")</x:f>
      </x:c>
      <x:c r="P321" s="13" t="str">
        <x:f>IF(COUNT(H321:I321)=2,SUM(H321:I321),"")</x:f>
      </x:c>
      <x:c r="Q321" s="13" t="str">
        <x:f>IF(AND(ISNUMBER(O321),COUNT(L321:N321)=3),O321+L321-M321-N321,"")</x:f>
      </x:c>
      <x:c r="R321" s="13" t="str">
        <x:f>IF(AND(A321&lt;&gt;"",B321&lt;&gt;"",ISNUMBER(P321),ISNUMBER(Q321)),P321-Q321,"")</x:f>
      </x:c>
      <x:c r="S321" s="13" t="str">
        <x:f>IF(COUNT(H321,J321)=2,J321-H321,"")</x:f>
      </x:c>
      <x:c r="T321" s="13" t="str">
        <x:f>IF(COUNT(I321,K321)=2,K321-I321,"")</x:f>
      </x:c>
      <x:c r="U321" s="10" t="str">
        <x:f>IF(NOT(OR(A321&lt;&gt;"",B321&lt;&gt;"",COUNT(D321:N321)&gt;0)),"",IF(OR(A321="",B321="",COUNT(D321:E321,H321:I321,L321:N321)&lt;&gt;7),"ناقص",IF(OR(MIN(D321:E321,H321:I321,L321:N321)&lt;0,Q321&lt;0),"ورودی نامعتبر",IF(R321&lt;0,"کسری",IF(R321&gt;0,"اضافه","بدون مغایرت")))))</x:f>
      </x:c>
      <x:c r="V321" s="10" t="str">
        <x:f>IF(OR(A321="",B321=""),"",IF(COUNTIFS($A$8:$A$507,A321,$B$8:$B$507,B321)&gt;1,"ثبت تکراری",""))</x:f>
      </x:c>
      <x:c r="W321" s="9"/>
    </x:row>
    <x:row r="322" ht="25" customHeight="1">
      <x:c r="A322" s="11"/>
      <x:c r="B322" s="11"/>
      <x:c r="C322" s="11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3" t="str">
        <x:f>IF(COUNT(D322:E322)=2,SUM(D322:E322),"")</x:f>
      </x:c>
      <x:c r="P322" s="13" t="str">
        <x:f>IF(COUNT(H322:I322)=2,SUM(H322:I322),"")</x:f>
      </x:c>
      <x:c r="Q322" s="13" t="str">
        <x:f>IF(AND(ISNUMBER(O322),COUNT(L322:N322)=3),O322+L322-M322-N322,"")</x:f>
      </x:c>
      <x:c r="R322" s="13" t="str">
        <x:f>IF(AND(A322&lt;&gt;"",B322&lt;&gt;"",ISNUMBER(P322),ISNUMBER(Q322)),P322-Q322,"")</x:f>
      </x:c>
      <x:c r="S322" s="13" t="str">
        <x:f>IF(COUNT(H322,J322)=2,J322-H322,"")</x:f>
      </x:c>
      <x:c r="T322" s="13" t="str">
        <x:f>IF(COUNT(I322,K322)=2,K322-I322,"")</x:f>
      </x:c>
      <x:c r="U322" s="10" t="str">
        <x:f>IF(NOT(OR(A322&lt;&gt;"",B322&lt;&gt;"",COUNT(D322:N322)&gt;0)),"",IF(OR(A322="",B322="",COUNT(D322:E322,H322:I322,L322:N322)&lt;&gt;7),"ناقص",IF(OR(MIN(D322:E322,H322:I322,L322:N322)&lt;0,Q322&lt;0),"ورودی نامعتبر",IF(R322&lt;0,"کسری",IF(R322&gt;0,"اضافه","بدون مغایرت")))))</x:f>
      </x:c>
      <x:c r="V322" s="10" t="str">
        <x:f>IF(OR(A322="",B322=""),"",IF(COUNTIFS($A$8:$A$507,A322,$B$8:$B$507,B322)&gt;1,"ثبت تکراری",""))</x:f>
      </x:c>
      <x:c r="W322" s="9"/>
    </x:row>
    <x:row r="323" ht="25" customHeight="1">
      <x:c r="A323" s="11"/>
      <x:c r="B323" s="11"/>
      <x:c r="C323" s="11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3" t="str">
        <x:f>IF(COUNT(D323:E323)=2,SUM(D323:E323),"")</x:f>
      </x:c>
      <x:c r="P323" s="13" t="str">
        <x:f>IF(COUNT(H323:I323)=2,SUM(H323:I323),"")</x:f>
      </x:c>
      <x:c r="Q323" s="13" t="str">
        <x:f>IF(AND(ISNUMBER(O323),COUNT(L323:N323)=3),O323+L323-M323-N323,"")</x:f>
      </x:c>
      <x:c r="R323" s="13" t="str">
        <x:f>IF(AND(A323&lt;&gt;"",B323&lt;&gt;"",ISNUMBER(P323),ISNUMBER(Q323)),P323-Q323,"")</x:f>
      </x:c>
      <x:c r="S323" s="13" t="str">
        <x:f>IF(COUNT(H323,J323)=2,J323-H323,"")</x:f>
      </x:c>
      <x:c r="T323" s="13" t="str">
        <x:f>IF(COUNT(I323,K323)=2,K323-I323,"")</x:f>
      </x:c>
      <x:c r="U323" s="10" t="str">
        <x:f>IF(NOT(OR(A323&lt;&gt;"",B323&lt;&gt;"",COUNT(D323:N323)&gt;0)),"",IF(OR(A323="",B323="",COUNT(D323:E323,H323:I323,L323:N323)&lt;&gt;7),"ناقص",IF(OR(MIN(D323:E323,H323:I323,L323:N323)&lt;0,Q323&lt;0),"ورودی نامعتبر",IF(R323&lt;0,"کسری",IF(R323&gt;0,"اضافه","بدون مغایرت")))))</x:f>
      </x:c>
      <x:c r="V323" s="10" t="str">
        <x:f>IF(OR(A323="",B323=""),"",IF(COUNTIFS($A$8:$A$507,A323,$B$8:$B$507,B323)&gt;1,"ثبت تکراری",""))</x:f>
      </x:c>
      <x:c r="W323" s="9"/>
    </x:row>
    <x:row r="324" ht="25" customHeight="1">
      <x:c r="A324" s="11"/>
      <x:c r="B324" s="11"/>
      <x:c r="C324" s="11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3" t="str">
        <x:f>IF(COUNT(D324:E324)=2,SUM(D324:E324),"")</x:f>
      </x:c>
      <x:c r="P324" s="13" t="str">
        <x:f>IF(COUNT(H324:I324)=2,SUM(H324:I324),"")</x:f>
      </x:c>
      <x:c r="Q324" s="13" t="str">
        <x:f>IF(AND(ISNUMBER(O324),COUNT(L324:N324)=3),O324+L324-M324-N324,"")</x:f>
      </x:c>
      <x:c r="R324" s="13" t="str">
        <x:f>IF(AND(A324&lt;&gt;"",B324&lt;&gt;"",ISNUMBER(P324),ISNUMBER(Q324)),P324-Q324,"")</x:f>
      </x:c>
      <x:c r="S324" s="13" t="str">
        <x:f>IF(COUNT(H324,J324)=2,J324-H324,"")</x:f>
      </x:c>
      <x:c r="T324" s="13" t="str">
        <x:f>IF(COUNT(I324,K324)=2,K324-I324,"")</x:f>
      </x:c>
      <x:c r="U324" s="10" t="str">
        <x:f>IF(NOT(OR(A324&lt;&gt;"",B324&lt;&gt;"",COUNT(D324:N324)&gt;0)),"",IF(OR(A324="",B324="",COUNT(D324:E324,H324:I324,L324:N324)&lt;&gt;7),"ناقص",IF(OR(MIN(D324:E324,H324:I324,L324:N324)&lt;0,Q324&lt;0),"ورودی نامعتبر",IF(R324&lt;0,"کسری",IF(R324&gt;0,"اضافه","بدون مغایرت")))))</x:f>
      </x:c>
      <x:c r="V324" s="10" t="str">
        <x:f>IF(OR(A324="",B324=""),"",IF(COUNTIFS($A$8:$A$507,A324,$B$8:$B$507,B324)&gt;1,"ثبت تکراری",""))</x:f>
      </x:c>
      <x:c r="W324" s="9"/>
    </x:row>
    <x:row r="325" ht="25" customHeight="1">
      <x:c r="A325" s="11"/>
      <x:c r="B325" s="11"/>
      <x:c r="C325" s="11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3" t="str">
        <x:f>IF(COUNT(D325:E325)=2,SUM(D325:E325),"")</x:f>
      </x:c>
      <x:c r="P325" s="13" t="str">
        <x:f>IF(COUNT(H325:I325)=2,SUM(H325:I325),"")</x:f>
      </x:c>
      <x:c r="Q325" s="13" t="str">
        <x:f>IF(AND(ISNUMBER(O325),COUNT(L325:N325)=3),O325+L325-M325-N325,"")</x:f>
      </x:c>
      <x:c r="R325" s="13" t="str">
        <x:f>IF(AND(A325&lt;&gt;"",B325&lt;&gt;"",ISNUMBER(P325),ISNUMBER(Q325)),P325-Q325,"")</x:f>
      </x:c>
      <x:c r="S325" s="13" t="str">
        <x:f>IF(COUNT(H325,J325)=2,J325-H325,"")</x:f>
      </x:c>
      <x:c r="T325" s="13" t="str">
        <x:f>IF(COUNT(I325,K325)=2,K325-I325,"")</x:f>
      </x:c>
      <x:c r="U325" s="10" t="str">
        <x:f>IF(NOT(OR(A325&lt;&gt;"",B325&lt;&gt;"",COUNT(D325:N325)&gt;0)),"",IF(OR(A325="",B325="",COUNT(D325:E325,H325:I325,L325:N325)&lt;&gt;7),"ناقص",IF(OR(MIN(D325:E325,H325:I325,L325:N325)&lt;0,Q325&lt;0),"ورودی نامعتبر",IF(R325&lt;0,"کسری",IF(R325&gt;0,"اضافه","بدون مغایرت")))))</x:f>
      </x:c>
      <x:c r="V325" s="10" t="str">
        <x:f>IF(OR(A325="",B325=""),"",IF(COUNTIFS($A$8:$A$507,A325,$B$8:$B$507,B325)&gt;1,"ثبت تکراری",""))</x:f>
      </x:c>
      <x:c r="W325" s="9"/>
    </x:row>
    <x:row r="326" ht="25" customHeight="1">
      <x:c r="A326" s="11"/>
      <x:c r="B326" s="11"/>
      <x:c r="C326" s="11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3" t="str">
        <x:f>IF(COUNT(D326:E326)=2,SUM(D326:E326),"")</x:f>
      </x:c>
      <x:c r="P326" s="13" t="str">
        <x:f>IF(COUNT(H326:I326)=2,SUM(H326:I326),"")</x:f>
      </x:c>
      <x:c r="Q326" s="13" t="str">
        <x:f>IF(AND(ISNUMBER(O326),COUNT(L326:N326)=3),O326+L326-M326-N326,"")</x:f>
      </x:c>
      <x:c r="R326" s="13" t="str">
        <x:f>IF(AND(A326&lt;&gt;"",B326&lt;&gt;"",ISNUMBER(P326),ISNUMBER(Q326)),P326-Q326,"")</x:f>
      </x:c>
      <x:c r="S326" s="13" t="str">
        <x:f>IF(COUNT(H326,J326)=2,J326-H326,"")</x:f>
      </x:c>
      <x:c r="T326" s="13" t="str">
        <x:f>IF(COUNT(I326,K326)=2,K326-I326,"")</x:f>
      </x:c>
      <x:c r="U326" s="10" t="str">
        <x:f>IF(NOT(OR(A326&lt;&gt;"",B326&lt;&gt;"",COUNT(D326:N326)&gt;0)),"",IF(OR(A326="",B326="",COUNT(D326:E326,H326:I326,L326:N326)&lt;&gt;7),"ناقص",IF(OR(MIN(D326:E326,H326:I326,L326:N326)&lt;0,Q326&lt;0),"ورودی نامعتبر",IF(R326&lt;0,"کسری",IF(R326&gt;0,"اضافه","بدون مغایرت")))))</x:f>
      </x:c>
      <x:c r="V326" s="10" t="str">
        <x:f>IF(OR(A326="",B326=""),"",IF(COUNTIFS($A$8:$A$507,A326,$B$8:$B$507,B326)&gt;1,"ثبت تکراری",""))</x:f>
      </x:c>
      <x:c r="W326" s="9"/>
    </x:row>
    <x:row r="327" ht="25" customHeight="1">
      <x:c r="A327" s="11"/>
      <x:c r="B327" s="11"/>
      <x:c r="C327" s="11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3" t="str">
        <x:f>IF(COUNT(D327:E327)=2,SUM(D327:E327),"")</x:f>
      </x:c>
      <x:c r="P327" s="13" t="str">
        <x:f>IF(COUNT(H327:I327)=2,SUM(H327:I327),"")</x:f>
      </x:c>
      <x:c r="Q327" s="13" t="str">
        <x:f>IF(AND(ISNUMBER(O327),COUNT(L327:N327)=3),O327+L327-M327-N327,"")</x:f>
      </x:c>
      <x:c r="R327" s="13" t="str">
        <x:f>IF(AND(A327&lt;&gt;"",B327&lt;&gt;"",ISNUMBER(P327),ISNUMBER(Q327)),P327-Q327,"")</x:f>
      </x:c>
      <x:c r="S327" s="13" t="str">
        <x:f>IF(COUNT(H327,J327)=2,J327-H327,"")</x:f>
      </x:c>
      <x:c r="T327" s="13" t="str">
        <x:f>IF(COUNT(I327,K327)=2,K327-I327,"")</x:f>
      </x:c>
      <x:c r="U327" s="10" t="str">
        <x:f>IF(NOT(OR(A327&lt;&gt;"",B327&lt;&gt;"",COUNT(D327:N327)&gt;0)),"",IF(OR(A327="",B327="",COUNT(D327:E327,H327:I327,L327:N327)&lt;&gt;7),"ناقص",IF(OR(MIN(D327:E327,H327:I327,L327:N327)&lt;0,Q327&lt;0),"ورودی نامعتبر",IF(R327&lt;0,"کسری",IF(R327&gt;0,"اضافه","بدون مغایرت")))))</x:f>
      </x:c>
      <x:c r="V327" s="10" t="str">
        <x:f>IF(OR(A327="",B327=""),"",IF(COUNTIFS($A$8:$A$507,A327,$B$8:$B$507,B327)&gt;1,"ثبت تکراری",""))</x:f>
      </x:c>
      <x:c r="W327" s="9"/>
    </x:row>
    <x:row r="328" ht="25" customHeight="1">
      <x:c r="A328" s="11"/>
      <x:c r="B328" s="11"/>
      <x:c r="C328" s="11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3" t="str">
        <x:f>IF(COUNT(D328:E328)=2,SUM(D328:E328),"")</x:f>
      </x:c>
      <x:c r="P328" s="13" t="str">
        <x:f>IF(COUNT(H328:I328)=2,SUM(H328:I328),"")</x:f>
      </x:c>
      <x:c r="Q328" s="13" t="str">
        <x:f>IF(AND(ISNUMBER(O328),COUNT(L328:N328)=3),O328+L328-M328-N328,"")</x:f>
      </x:c>
      <x:c r="R328" s="13" t="str">
        <x:f>IF(AND(A328&lt;&gt;"",B328&lt;&gt;"",ISNUMBER(P328),ISNUMBER(Q328)),P328-Q328,"")</x:f>
      </x:c>
      <x:c r="S328" s="13" t="str">
        <x:f>IF(COUNT(H328,J328)=2,J328-H328,"")</x:f>
      </x:c>
      <x:c r="T328" s="13" t="str">
        <x:f>IF(COUNT(I328,K328)=2,K328-I328,"")</x:f>
      </x:c>
      <x:c r="U328" s="10" t="str">
        <x:f>IF(NOT(OR(A328&lt;&gt;"",B328&lt;&gt;"",COUNT(D328:N328)&gt;0)),"",IF(OR(A328="",B328="",COUNT(D328:E328,H328:I328,L328:N328)&lt;&gt;7),"ناقص",IF(OR(MIN(D328:E328,H328:I328,L328:N328)&lt;0,Q328&lt;0),"ورودی نامعتبر",IF(R328&lt;0,"کسری",IF(R328&gt;0,"اضافه","بدون مغایرت")))))</x:f>
      </x:c>
      <x:c r="V328" s="10" t="str">
        <x:f>IF(OR(A328="",B328=""),"",IF(COUNTIFS($A$8:$A$507,A328,$B$8:$B$507,B328)&gt;1,"ثبت تکراری",""))</x:f>
      </x:c>
      <x:c r="W328" s="9"/>
    </x:row>
    <x:row r="329" ht="25" customHeight="1">
      <x:c r="A329" s="11"/>
      <x:c r="B329" s="11"/>
      <x:c r="C329" s="11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3" t="str">
        <x:f>IF(COUNT(D329:E329)=2,SUM(D329:E329),"")</x:f>
      </x:c>
      <x:c r="P329" s="13" t="str">
        <x:f>IF(COUNT(H329:I329)=2,SUM(H329:I329),"")</x:f>
      </x:c>
      <x:c r="Q329" s="13" t="str">
        <x:f>IF(AND(ISNUMBER(O329),COUNT(L329:N329)=3),O329+L329-M329-N329,"")</x:f>
      </x:c>
      <x:c r="R329" s="13" t="str">
        <x:f>IF(AND(A329&lt;&gt;"",B329&lt;&gt;"",ISNUMBER(P329),ISNUMBER(Q329)),P329-Q329,"")</x:f>
      </x:c>
      <x:c r="S329" s="13" t="str">
        <x:f>IF(COUNT(H329,J329)=2,J329-H329,"")</x:f>
      </x:c>
      <x:c r="T329" s="13" t="str">
        <x:f>IF(COUNT(I329,K329)=2,K329-I329,"")</x:f>
      </x:c>
      <x:c r="U329" s="10" t="str">
        <x:f>IF(NOT(OR(A329&lt;&gt;"",B329&lt;&gt;"",COUNT(D329:N329)&gt;0)),"",IF(OR(A329="",B329="",COUNT(D329:E329,H329:I329,L329:N329)&lt;&gt;7),"ناقص",IF(OR(MIN(D329:E329,H329:I329,L329:N329)&lt;0,Q329&lt;0),"ورودی نامعتبر",IF(R329&lt;0,"کسری",IF(R329&gt;0,"اضافه","بدون مغایرت")))))</x:f>
      </x:c>
      <x:c r="V329" s="10" t="str">
        <x:f>IF(OR(A329="",B329=""),"",IF(COUNTIFS($A$8:$A$507,A329,$B$8:$B$507,B329)&gt;1,"ثبت تکراری",""))</x:f>
      </x:c>
      <x:c r="W329" s="9"/>
    </x:row>
    <x:row r="330" ht="25" customHeight="1">
      <x:c r="A330" s="11"/>
      <x:c r="B330" s="11"/>
      <x:c r="C330" s="11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3" t="str">
        <x:f>IF(COUNT(D330:E330)=2,SUM(D330:E330),"")</x:f>
      </x:c>
      <x:c r="P330" s="13" t="str">
        <x:f>IF(COUNT(H330:I330)=2,SUM(H330:I330),"")</x:f>
      </x:c>
      <x:c r="Q330" s="13" t="str">
        <x:f>IF(AND(ISNUMBER(O330),COUNT(L330:N330)=3),O330+L330-M330-N330,"")</x:f>
      </x:c>
      <x:c r="R330" s="13" t="str">
        <x:f>IF(AND(A330&lt;&gt;"",B330&lt;&gt;"",ISNUMBER(P330),ISNUMBER(Q330)),P330-Q330,"")</x:f>
      </x:c>
      <x:c r="S330" s="13" t="str">
        <x:f>IF(COUNT(H330,J330)=2,J330-H330,"")</x:f>
      </x:c>
      <x:c r="T330" s="13" t="str">
        <x:f>IF(COUNT(I330,K330)=2,K330-I330,"")</x:f>
      </x:c>
      <x:c r="U330" s="10" t="str">
        <x:f>IF(NOT(OR(A330&lt;&gt;"",B330&lt;&gt;"",COUNT(D330:N330)&gt;0)),"",IF(OR(A330="",B330="",COUNT(D330:E330,H330:I330,L330:N330)&lt;&gt;7),"ناقص",IF(OR(MIN(D330:E330,H330:I330,L330:N330)&lt;0,Q330&lt;0),"ورودی نامعتبر",IF(R330&lt;0,"کسری",IF(R330&gt;0,"اضافه","بدون مغایرت")))))</x:f>
      </x:c>
      <x:c r="V330" s="10" t="str">
        <x:f>IF(OR(A330="",B330=""),"",IF(COUNTIFS($A$8:$A$507,A330,$B$8:$B$507,B330)&gt;1,"ثبت تکراری",""))</x:f>
      </x:c>
      <x:c r="W330" s="9"/>
    </x:row>
    <x:row r="331" ht="25" customHeight="1">
      <x:c r="A331" s="11"/>
      <x:c r="B331" s="11"/>
      <x:c r="C331" s="11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3" t="str">
        <x:f>IF(COUNT(D331:E331)=2,SUM(D331:E331),"")</x:f>
      </x:c>
      <x:c r="P331" s="13" t="str">
        <x:f>IF(COUNT(H331:I331)=2,SUM(H331:I331),"")</x:f>
      </x:c>
      <x:c r="Q331" s="13" t="str">
        <x:f>IF(AND(ISNUMBER(O331),COUNT(L331:N331)=3),O331+L331-M331-N331,"")</x:f>
      </x:c>
      <x:c r="R331" s="13" t="str">
        <x:f>IF(AND(A331&lt;&gt;"",B331&lt;&gt;"",ISNUMBER(P331),ISNUMBER(Q331)),P331-Q331,"")</x:f>
      </x:c>
      <x:c r="S331" s="13" t="str">
        <x:f>IF(COUNT(H331,J331)=2,J331-H331,"")</x:f>
      </x:c>
      <x:c r="T331" s="13" t="str">
        <x:f>IF(COUNT(I331,K331)=2,K331-I331,"")</x:f>
      </x:c>
      <x:c r="U331" s="10" t="str">
        <x:f>IF(NOT(OR(A331&lt;&gt;"",B331&lt;&gt;"",COUNT(D331:N331)&gt;0)),"",IF(OR(A331="",B331="",COUNT(D331:E331,H331:I331,L331:N331)&lt;&gt;7),"ناقص",IF(OR(MIN(D331:E331,H331:I331,L331:N331)&lt;0,Q331&lt;0),"ورودی نامعتبر",IF(R331&lt;0,"کسری",IF(R331&gt;0,"اضافه","بدون مغایرت")))))</x:f>
      </x:c>
      <x:c r="V331" s="10" t="str">
        <x:f>IF(OR(A331="",B331=""),"",IF(COUNTIFS($A$8:$A$507,A331,$B$8:$B$507,B331)&gt;1,"ثبت تکراری",""))</x:f>
      </x:c>
      <x:c r="W331" s="9"/>
    </x:row>
    <x:row r="332" ht="25" customHeight="1">
      <x:c r="A332" s="11"/>
      <x:c r="B332" s="11"/>
      <x:c r="C332" s="11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3" t="str">
        <x:f>IF(COUNT(D332:E332)=2,SUM(D332:E332),"")</x:f>
      </x:c>
      <x:c r="P332" s="13" t="str">
        <x:f>IF(COUNT(H332:I332)=2,SUM(H332:I332),"")</x:f>
      </x:c>
      <x:c r="Q332" s="13" t="str">
        <x:f>IF(AND(ISNUMBER(O332),COUNT(L332:N332)=3),O332+L332-M332-N332,"")</x:f>
      </x:c>
      <x:c r="R332" s="13" t="str">
        <x:f>IF(AND(A332&lt;&gt;"",B332&lt;&gt;"",ISNUMBER(P332),ISNUMBER(Q332)),P332-Q332,"")</x:f>
      </x:c>
      <x:c r="S332" s="13" t="str">
        <x:f>IF(COUNT(H332,J332)=2,J332-H332,"")</x:f>
      </x:c>
      <x:c r="T332" s="13" t="str">
        <x:f>IF(COUNT(I332,K332)=2,K332-I332,"")</x:f>
      </x:c>
      <x:c r="U332" s="10" t="str">
        <x:f>IF(NOT(OR(A332&lt;&gt;"",B332&lt;&gt;"",COUNT(D332:N332)&gt;0)),"",IF(OR(A332="",B332="",COUNT(D332:E332,H332:I332,L332:N332)&lt;&gt;7),"ناقص",IF(OR(MIN(D332:E332,H332:I332,L332:N332)&lt;0,Q332&lt;0),"ورودی نامعتبر",IF(R332&lt;0,"کسری",IF(R332&gt;0,"اضافه","بدون مغایرت")))))</x:f>
      </x:c>
      <x:c r="V332" s="10" t="str">
        <x:f>IF(OR(A332="",B332=""),"",IF(COUNTIFS($A$8:$A$507,A332,$B$8:$B$507,B332)&gt;1,"ثبت تکراری",""))</x:f>
      </x:c>
      <x:c r="W332" s="9"/>
    </x:row>
    <x:row r="333" ht="25" customHeight="1">
      <x:c r="A333" s="11"/>
      <x:c r="B333" s="11"/>
      <x:c r="C333" s="11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3" t="str">
        <x:f>IF(COUNT(D333:E333)=2,SUM(D333:E333),"")</x:f>
      </x:c>
      <x:c r="P333" s="13" t="str">
        <x:f>IF(COUNT(H333:I333)=2,SUM(H333:I333),"")</x:f>
      </x:c>
      <x:c r="Q333" s="13" t="str">
        <x:f>IF(AND(ISNUMBER(O333),COUNT(L333:N333)=3),O333+L333-M333-N333,"")</x:f>
      </x:c>
      <x:c r="R333" s="13" t="str">
        <x:f>IF(AND(A333&lt;&gt;"",B333&lt;&gt;"",ISNUMBER(P333),ISNUMBER(Q333)),P333-Q333,"")</x:f>
      </x:c>
      <x:c r="S333" s="13" t="str">
        <x:f>IF(COUNT(H333,J333)=2,J333-H333,"")</x:f>
      </x:c>
      <x:c r="T333" s="13" t="str">
        <x:f>IF(COUNT(I333,K333)=2,K333-I333,"")</x:f>
      </x:c>
      <x:c r="U333" s="10" t="str">
        <x:f>IF(NOT(OR(A333&lt;&gt;"",B333&lt;&gt;"",COUNT(D333:N333)&gt;0)),"",IF(OR(A333="",B333="",COUNT(D333:E333,H333:I333,L333:N333)&lt;&gt;7),"ناقص",IF(OR(MIN(D333:E333,H333:I333,L333:N333)&lt;0,Q333&lt;0),"ورودی نامعتبر",IF(R333&lt;0,"کسری",IF(R333&gt;0,"اضافه","بدون مغایرت")))))</x:f>
      </x:c>
      <x:c r="V333" s="10" t="str">
        <x:f>IF(OR(A333="",B333=""),"",IF(COUNTIFS($A$8:$A$507,A333,$B$8:$B$507,B333)&gt;1,"ثبت تکراری",""))</x:f>
      </x:c>
      <x:c r="W333" s="9"/>
    </x:row>
    <x:row r="334" ht="25" customHeight="1">
      <x:c r="A334" s="11"/>
      <x:c r="B334" s="11"/>
      <x:c r="C334" s="11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3" t="str">
        <x:f>IF(COUNT(D334:E334)=2,SUM(D334:E334),"")</x:f>
      </x:c>
      <x:c r="P334" s="13" t="str">
        <x:f>IF(COUNT(H334:I334)=2,SUM(H334:I334),"")</x:f>
      </x:c>
      <x:c r="Q334" s="13" t="str">
        <x:f>IF(AND(ISNUMBER(O334),COUNT(L334:N334)=3),O334+L334-M334-N334,"")</x:f>
      </x:c>
      <x:c r="R334" s="13" t="str">
        <x:f>IF(AND(A334&lt;&gt;"",B334&lt;&gt;"",ISNUMBER(P334),ISNUMBER(Q334)),P334-Q334,"")</x:f>
      </x:c>
      <x:c r="S334" s="13" t="str">
        <x:f>IF(COUNT(H334,J334)=2,J334-H334,"")</x:f>
      </x:c>
      <x:c r="T334" s="13" t="str">
        <x:f>IF(COUNT(I334,K334)=2,K334-I334,"")</x:f>
      </x:c>
      <x:c r="U334" s="10" t="str">
        <x:f>IF(NOT(OR(A334&lt;&gt;"",B334&lt;&gt;"",COUNT(D334:N334)&gt;0)),"",IF(OR(A334="",B334="",COUNT(D334:E334,H334:I334,L334:N334)&lt;&gt;7),"ناقص",IF(OR(MIN(D334:E334,H334:I334,L334:N334)&lt;0,Q334&lt;0),"ورودی نامعتبر",IF(R334&lt;0,"کسری",IF(R334&gt;0,"اضافه","بدون مغایرت")))))</x:f>
      </x:c>
      <x:c r="V334" s="10" t="str">
        <x:f>IF(OR(A334="",B334=""),"",IF(COUNTIFS($A$8:$A$507,A334,$B$8:$B$507,B334)&gt;1,"ثبت تکراری",""))</x:f>
      </x:c>
      <x:c r="W334" s="9"/>
    </x:row>
    <x:row r="335" ht="25" customHeight="1">
      <x:c r="A335" s="11"/>
      <x:c r="B335" s="11"/>
      <x:c r="C335" s="11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3" t="str">
        <x:f>IF(COUNT(D335:E335)=2,SUM(D335:E335),"")</x:f>
      </x:c>
      <x:c r="P335" s="13" t="str">
        <x:f>IF(COUNT(H335:I335)=2,SUM(H335:I335),"")</x:f>
      </x:c>
      <x:c r="Q335" s="13" t="str">
        <x:f>IF(AND(ISNUMBER(O335),COUNT(L335:N335)=3),O335+L335-M335-N335,"")</x:f>
      </x:c>
      <x:c r="R335" s="13" t="str">
        <x:f>IF(AND(A335&lt;&gt;"",B335&lt;&gt;"",ISNUMBER(P335),ISNUMBER(Q335)),P335-Q335,"")</x:f>
      </x:c>
      <x:c r="S335" s="13" t="str">
        <x:f>IF(COUNT(H335,J335)=2,J335-H335,"")</x:f>
      </x:c>
      <x:c r="T335" s="13" t="str">
        <x:f>IF(COUNT(I335,K335)=2,K335-I335,"")</x:f>
      </x:c>
      <x:c r="U335" s="10" t="str">
        <x:f>IF(NOT(OR(A335&lt;&gt;"",B335&lt;&gt;"",COUNT(D335:N335)&gt;0)),"",IF(OR(A335="",B335="",COUNT(D335:E335,H335:I335,L335:N335)&lt;&gt;7),"ناقص",IF(OR(MIN(D335:E335,H335:I335,L335:N335)&lt;0,Q335&lt;0),"ورودی نامعتبر",IF(R335&lt;0,"کسری",IF(R335&gt;0,"اضافه","بدون مغایرت")))))</x:f>
      </x:c>
      <x:c r="V335" s="10" t="str">
        <x:f>IF(OR(A335="",B335=""),"",IF(COUNTIFS($A$8:$A$507,A335,$B$8:$B$507,B335)&gt;1,"ثبت تکراری",""))</x:f>
      </x:c>
      <x:c r="W335" s="9"/>
    </x:row>
    <x:row r="336" ht="25" customHeight="1">
      <x:c r="A336" s="11"/>
      <x:c r="B336" s="11"/>
      <x:c r="C336" s="11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3" t="str">
        <x:f>IF(COUNT(D336:E336)=2,SUM(D336:E336),"")</x:f>
      </x:c>
      <x:c r="P336" s="13" t="str">
        <x:f>IF(COUNT(H336:I336)=2,SUM(H336:I336),"")</x:f>
      </x:c>
      <x:c r="Q336" s="13" t="str">
        <x:f>IF(AND(ISNUMBER(O336),COUNT(L336:N336)=3),O336+L336-M336-N336,"")</x:f>
      </x:c>
      <x:c r="R336" s="13" t="str">
        <x:f>IF(AND(A336&lt;&gt;"",B336&lt;&gt;"",ISNUMBER(P336),ISNUMBER(Q336)),P336-Q336,"")</x:f>
      </x:c>
      <x:c r="S336" s="13" t="str">
        <x:f>IF(COUNT(H336,J336)=2,J336-H336,"")</x:f>
      </x:c>
      <x:c r="T336" s="13" t="str">
        <x:f>IF(COUNT(I336,K336)=2,K336-I336,"")</x:f>
      </x:c>
      <x:c r="U336" s="10" t="str">
        <x:f>IF(NOT(OR(A336&lt;&gt;"",B336&lt;&gt;"",COUNT(D336:N336)&gt;0)),"",IF(OR(A336="",B336="",COUNT(D336:E336,H336:I336,L336:N336)&lt;&gt;7),"ناقص",IF(OR(MIN(D336:E336,H336:I336,L336:N336)&lt;0,Q336&lt;0),"ورودی نامعتبر",IF(R336&lt;0,"کسری",IF(R336&gt;0,"اضافه","بدون مغایرت")))))</x:f>
      </x:c>
      <x:c r="V336" s="10" t="str">
        <x:f>IF(OR(A336="",B336=""),"",IF(COUNTIFS($A$8:$A$507,A336,$B$8:$B$507,B336)&gt;1,"ثبت تکراری",""))</x:f>
      </x:c>
      <x:c r="W336" s="9"/>
    </x:row>
    <x:row r="337" ht="25" customHeight="1">
      <x:c r="A337" s="11"/>
      <x:c r="B337" s="11"/>
      <x:c r="C337" s="11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3" t="str">
        <x:f>IF(COUNT(D337:E337)=2,SUM(D337:E337),"")</x:f>
      </x:c>
      <x:c r="P337" s="13" t="str">
        <x:f>IF(COUNT(H337:I337)=2,SUM(H337:I337),"")</x:f>
      </x:c>
      <x:c r="Q337" s="13" t="str">
        <x:f>IF(AND(ISNUMBER(O337),COUNT(L337:N337)=3),O337+L337-M337-N337,"")</x:f>
      </x:c>
      <x:c r="R337" s="13" t="str">
        <x:f>IF(AND(A337&lt;&gt;"",B337&lt;&gt;"",ISNUMBER(P337),ISNUMBER(Q337)),P337-Q337,"")</x:f>
      </x:c>
      <x:c r="S337" s="13" t="str">
        <x:f>IF(COUNT(H337,J337)=2,J337-H337,"")</x:f>
      </x:c>
      <x:c r="T337" s="13" t="str">
        <x:f>IF(COUNT(I337,K337)=2,K337-I337,"")</x:f>
      </x:c>
      <x:c r="U337" s="10" t="str">
        <x:f>IF(NOT(OR(A337&lt;&gt;"",B337&lt;&gt;"",COUNT(D337:N337)&gt;0)),"",IF(OR(A337="",B337="",COUNT(D337:E337,H337:I337,L337:N337)&lt;&gt;7),"ناقص",IF(OR(MIN(D337:E337,H337:I337,L337:N337)&lt;0,Q337&lt;0),"ورودی نامعتبر",IF(R337&lt;0,"کسری",IF(R337&gt;0,"اضافه","بدون مغایرت")))))</x:f>
      </x:c>
      <x:c r="V337" s="10" t="str">
        <x:f>IF(OR(A337="",B337=""),"",IF(COUNTIFS($A$8:$A$507,A337,$B$8:$B$507,B337)&gt;1,"ثبت تکراری",""))</x:f>
      </x:c>
      <x:c r="W337" s="9"/>
    </x:row>
    <x:row r="338" ht="25" customHeight="1">
      <x:c r="A338" s="11"/>
      <x:c r="B338" s="11"/>
      <x:c r="C338" s="11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3" t="str">
        <x:f>IF(COUNT(D338:E338)=2,SUM(D338:E338),"")</x:f>
      </x:c>
      <x:c r="P338" s="13" t="str">
        <x:f>IF(COUNT(H338:I338)=2,SUM(H338:I338),"")</x:f>
      </x:c>
      <x:c r="Q338" s="13" t="str">
        <x:f>IF(AND(ISNUMBER(O338),COUNT(L338:N338)=3),O338+L338-M338-N338,"")</x:f>
      </x:c>
      <x:c r="R338" s="13" t="str">
        <x:f>IF(AND(A338&lt;&gt;"",B338&lt;&gt;"",ISNUMBER(P338),ISNUMBER(Q338)),P338-Q338,"")</x:f>
      </x:c>
      <x:c r="S338" s="13" t="str">
        <x:f>IF(COUNT(H338,J338)=2,J338-H338,"")</x:f>
      </x:c>
      <x:c r="T338" s="13" t="str">
        <x:f>IF(COUNT(I338,K338)=2,K338-I338,"")</x:f>
      </x:c>
      <x:c r="U338" s="10" t="str">
        <x:f>IF(NOT(OR(A338&lt;&gt;"",B338&lt;&gt;"",COUNT(D338:N338)&gt;0)),"",IF(OR(A338="",B338="",COUNT(D338:E338,H338:I338,L338:N338)&lt;&gt;7),"ناقص",IF(OR(MIN(D338:E338,H338:I338,L338:N338)&lt;0,Q338&lt;0),"ورودی نامعتبر",IF(R338&lt;0,"کسری",IF(R338&gt;0,"اضافه","بدون مغایرت")))))</x:f>
      </x:c>
      <x:c r="V338" s="10" t="str">
        <x:f>IF(OR(A338="",B338=""),"",IF(COUNTIFS($A$8:$A$507,A338,$B$8:$B$507,B338)&gt;1,"ثبت تکراری",""))</x:f>
      </x:c>
      <x:c r="W338" s="9"/>
    </x:row>
    <x:row r="339" ht="25" customHeight="1">
      <x:c r="A339" s="11"/>
      <x:c r="B339" s="11"/>
      <x:c r="C339" s="11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3" t="str">
        <x:f>IF(COUNT(D339:E339)=2,SUM(D339:E339),"")</x:f>
      </x:c>
      <x:c r="P339" s="13" t="str">
        <x:f>IF(COUNT(H339:I339)=2,SUM(H339:I339),"")</x:f>
      </x:c>
      <x:c r="Q339" s="13" t="str">
        <x:f>IF(AND(ISNUMBER(O339),COUNT(L339:N339)=3),O339+L339-M339-N339,"")</x:f>
      </x:c>
      <x:c r="R339" s="13" t="str">
        <x:f>IF(AND(A339&lt;&gt;"",B339&lt;&gt;"",ISNUMBER(P339),ISNUMBER(Q339)),P339-Q339,"")</x:f>
      </x:c>
      <x:c r="S339" s="13" t="str">
        <x:f>IF(COUNT(H339,J339)=2,J339-H339,"")</x:f>
      </x:c>
      <x:c r="T339" s="13" t="str">
        <x:f>IF(COUNT(I339,K339)=2,K339-I339,"")</x:f>
      </x:c>
      <x:c r="U339" s="10" t="str">
        <x:f>IF(NOT(OR(A339&lt;&gt;"",B339&lt;&gt;"",COUNT(D339:N339)&gt;0)),"",IF(OR(A339="",B339="",COUNT(D339:E339,H339:I339,L339:N339)&lt;&gt;7),"ناقص",IF(OR(MIN(D339:E339,H339:I339,L339:N339)&lt;0,Q339&lt;0),"ورودی نامعتبر",IF(R339&lt;0,"کسری",IF(R339&gt;0,"اضافه","بدون مغایرت")))))</x:f>
      </x:c>
      <x:c r="V339" s="10" t="str">
        <x:f>IF(OR(A339="",B339=""),"",IF(COUNTIFS($A$8:$A$507,A339,$B$8:$B$507,B339)&gt;1,"ثبت تکراری",""))</x:f>
      </x:c>
      <x:c r="W339" s="9"/>
    </x:row>
    <x:row r="340" ht="25" customHeight="1">
      <x:c r="A340" s="11"/>
      <x:c r="B340" s="11"/>
      <x:c r="C340" s="11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3" t="str">
        <x:f>IF(COUNT(D340:E340)=2,SUM(D340:E340),"")</x:f>
      </x:c>
      <x:c r="P340" s="13" t="str">
        <x:f>IF(COUNT(H340:I340)=2,SUM(H340:I340),"")</x:f>
      </x:c>
      <x:c r="Q340" s="13" t="str">
        <x:f>IF(AND(ISNUMBER(O340),COUNT(L340:N340)=3),O340+L340-M340-N340,"")</x:f>
      </x:c>
      <x:c r="R340" s="13" t="str">
        <x:f>IF(AND(A340&lt;&gt;"",B340&lt;&gt;"",ISNUMBER(P340),ISNUMBER(Q340)),P340-Q340,"")</x:f>
      </x:c>
      <x:c r="S340" s="13" t="str">
        <x:f>IF(COUNT(H340,J340)=2,J340-H340,"")</x:f>
      </x:c>
      <x:c r="T340" s="13" t="str">
        <x:f>IF(COUNT(I340,K340)=2,K340-I340,"")</x:f>
      </x:c>
      <x:c r="U340" s="10" t="str">
        <x:f>IF(NOT(OR(A340&lt;&gt;"",B340&lt;&gt;"",COUNT(D340:N340)&gt;0)),"",IF(OR(A340="",B340="",COUNT(D340:E340,H340:I340,L340:N340)&lt;&gt;7),"ناقص",IF(OR(MIN(D340:E340,H340:I340,L340:N340)&lt;0,Q340&lt;0),"ورودی نامعتبر",IF(R340&lt;0,"کسری",IF(R340&gt;0,"اضافه","بدون مغایرت")))))</x:f>
      </x:c>
      <x:c r="V340" s="10" t="str">
        <x:f>IF(OR(A340="",B340=""),"",IF(COUNTIFS($A$8:$A$507,A340,$B$8:$B$507,B340)&gt;1,"ثبت تکراری",""))</x:f>
      </x:c>
      <x:c r="W340" s="9"/>
    </x:row>
    <x:row r="341" ht="25" customHeight="1">
      <x:c r="A341" s="11"/>
      <x:c r="B341" s="11"/>
      <x:c r="C341" s="11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3" t="str">
        <x:f>IF(COUNT(D341:E341)=2,SUM(D341:E341),"")</x:f>
      </x:c>
      <x:c r="P341" s="13" t="str">
        <x:f>IF(COUNT(H341:I341)=2,SUM(H341:I341),"")</x:f>
      </x:c>
      <x:c r="Q341" s="13" t="str">
        <x:f>IF(AND(ISNUMBER(O341),COUNT(L341:N341)=3),O341+L341-M341-N341,"")</x:f>
      </x:c>
      <x:c r="R341" s="13" t="str">
        <x:f>IF(AND(A341&lt;&gt;"",B341&lt;&gt;"",ISNUMBER(P341),ISNUMBER(Q341)),P341-Q341,"")</x:f>
      </x:c>
      <x:c r="S341" s="13" t="str">
        <x:f>IF(COUNT(H341,J341)=2,J341-H341,"")</x:f>
      </x:c>
      <x:c r="T341" s="13" t="str">
        <x:f>IF(COUNT(I341,K341)=2,K341-I341,"")</x:f>
      </x:c>
      <x:c r="U341" s="10" t="str">
        <x:f>IF(NOT(OR(A341&lt;&gt;"",B341&lt;&gt;"",COUNT(D341:N341)&gt;0)),"",IF(OR(A341="",B341="",COUNT(D341:E341,H341:I341,L341:N341)&lt;&gt;7),"ناقص",IF(OR(MIN(D341:E341,H341:I341,L341:N341)&lt;0,Q341&lt;0),"ورودی نامعتبر",IF(R341&lt;0,"کسری",IF(R341&gt;0,"اضافه","بدون مغایرت")))))</x:f>
      </x:c>
      <x:c r="V341" s="10" t="str">
        <x:f>IF(OR(A341="",B341=""),"",IF(COUNTIFS($A$8:$A$507,A341,$B$8:$B$507,B341)&gt;1,"ثبت تکراری",""))</x:f>
      </x:c>
      <x:c r="W341" s="9"/>
    </x:row>
    <x:row r="342" ht="25" customHeight="1">
      <x:c r="A342" s="11"/>
      <x:c r="B342" s="11"/>
      <x:c r="C342" s="11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3" t="str">
        <x:f>IF(COUNT(D342:E342)=2,SUM(D342:E342),"")</x:f>
      </x:c>
      <x:c r="P342" s="13" t="str">
        <x:f>IF(COUNT(H342:I342)=2,SUM(H342:I342),"")</x:f>
      </x:c>
      <x:c r="Q342" s="13" t="str">
        <x:f>IF(AND(ISNUMBER(O342),COUNT(L342:N342)=3),O342+L342-M342-N342,"")</x:f>
      </x:c>
      <x:c r="R342" s="13" t="str">
        <x:f>IF(AND(A342&lt;&gt;"",B342&lt;&gt;"",ISNUMBER(P342),ISNUMBER(Q342)),P342-Q342,"")</x:f>
      </x:c>
      <x:c r="S342" s="13" t="str">
        <x:f>IF(COUNT(H342,J342)=2,J342-H342,"")</x:f>
      </x:c>
      <x:c r="T342" s="13" t="str">
        <x:f>IF(COUNT(I342,K342)=2,K342-I342,"")</x:f>
      </x:c>
      <x:c r="U342" s="10" t="str">
        <x:f>IF(NOT(OR(A342&lt;&gt;"",B342&lt;&gt;"",COUNT(D342:N342)&gt;0)),"",IF(OR(A342="",B342="",COUNT(D342:E342,H342:I342,L342:N342)&lt;&gt;7),"ناقص",IF(OR(MIN(D342:E342,H342:I342,L342:N342)&lt;0,Q342&lt;0),"ورودی نامعتبر",IF(R342&lt;0,"کسری",IF(R342&gt;0,"اضافه","بدون مغایرت")))))</x:f>
      </x:c>
      <x:c r="V342" s="10" t="str">
        <x:f>IF(OR(A342="",B342=""),"",IF(COUNTIFS($A$8:$A$507,A342,$B$8:$B$507,B342)&gt;1,"ثبت تکراری",""))</x:f>
      </x:c>
      <x:c r="W342" s="9"/>
    </x:row>
    <x:row r="343" ht="25" customHeight="1">
      <x:c r="A343" s="11"/>
      <x:c r="B343" s="11"/>
      <x:c r="C343" s="11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3" t="str">
        <x:f>IF(COUNT(D343:E343)=2,SUM(D343:E343),"")</x:f>
      </x:c>
      <x:c r="P343" s="13" t="str">
        <x:f>IF(COUNT(H343:I343)=2,SUM(H343:I343),"")</x:f>
      </x:c>
      <x:c r="Q343" s="13" t="str">
        <x:f>IF(AND(ISNUMBER(O343),COUNT(L343:N343)=3),O343+L343-M343-N343,"")</x:f>
      </x:c>
      <x:c r="R343" s="13" t="str">
        <x:f>IF(AND(A343&lt;&gt;"",B343&lt;&gt;"",ISNUMBER(P343),ISNUMBER(Q343)),P343-Q343,"")</x:f>
      </x:c>
      <x:c r="S343" s="13" t="str">
        <x:f>IF(COUNT(H343,J343)=2,J343-H343,"")</x:f>
      </x:c>
      <x:c r="T343" s="13" t="str">
        <x:f>IF(COUNT(I343,K343)=2,K343-I343,"")</x:f>
      </x:c>
      <x:c r="U343" s="10" t="str">
        <x:f>IF(NOT(OR(A343&lt;&gt;"",B343&lt;&gt;"",COUNT(D343:N343)&gt;0)),"",IF(OR(A343="",B343="",COUNT(D343:E343,H343:I343,L343:N343)&lt;&gt;7),"ناقص",IF(OR(MIN(D343:E343,H343:I343,L343:N343)&lt;0,Q343&lt;0),"ورودی نامعتبر",IF(R343&lt;0,"کسری",IF(R343&gt;0,"اضافه","بدون مغایرت")))))</x:f>
      </x:c>
      <x:c r="V343" s="10" t="str">
        <x:f>IF(OR(A343="",B343=""),"",IF(COUNTIFS($A$8:$A$507,A343,$B$8:$B$507,B343)&gt;1,"ثبت تکراری",""))</x:f>
      </x:c>
      <x:c r="W343" s="9"/>
    </x:row>
    <x:row r="344" ht="25" customHeight="1">
      <x:c r="A344" s="11"/>
      <x:c r="B344" s="11"/>
      <x:c r="C344" s="11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3" t="str">
        <x:f>IF(COUNT(D344:E344)=2,SUM(D344:E344),"")</x:f>
      </x:c>
      <x:c r="P344" s="13" t="str">
        <x:f>IF(COUNT(H344:I344)=2,SUM(H344:I344),"")</x:f>
      </x:c>
      <x:c r="Q344" s="13" t="str">
        <x:f>IF(AND(ISNUMBER(O344),COUNT(L344:N344)=3),O344+L344-M344-N344,"")</x:f>
      </x:c>
      <x:c r="R344" s="13" t="str">
        <x:f>IF(AND(A344&lt;&gt;"",B344&lt;&gt;"",ISNUMBER(P344),ISNUMBER(Q344)),P344-Q344,"")</x:f>
      </x:c>
      <x:c r="S344" s="13" t="str">
        <x:f>IF(COUNT(H344,J344)=2,J344-H344,"")</x:f>
      </x:c>
      <x:c r="T344" s="13" t="str">
        <x:f>IF(COUNT(I344,K344)=2,K344-I344,"")</x:f>
      </x:c>
      <x:c r="U344" s="10" t="str">
        <x:f>IF(NOT(OR(A344&lt;&gt;"",B344&lt;&gt;"",COUNT(D344:N344)&gt;0)),"",IF(OR(A344="",B344="",COUNT(D344:E344,H344:I344,L344:N344)&lt;&gt;7),"ناقص",IF(OR(MIN(D344:E344,H344:I344,L344:N344)&lt;0,Q344&lt;0),"ورودی نامعتبر",IF(R344&lt;0,"کسری",IF(R344&gt;0,"اضافه","بدون مغایرت")))))</x:f>
      </x:c>
      <x:c r="V344" s="10" t="str">
        <x:f>IF(OR(A344="",B344=""),"",IF(COUNTIFS($A$8:$A$507,A344,$B$8:$B$507,B344)&gt;1,"ثبت تکراری",""))</x:f>
      </x:c>
      <x:c r="W344" s="9"/>
    </x:row>
    <x:row r="345" ht="25" customHeight="1">
      <x:c r="A345" s="11"/>
      <x:c r="B345" s="11"/>
      <x:c r="C345" s="11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3" t="str">
        <x:f>IF(COUNT(D345:E345)=2,SUM(D345:E345),"")</x:f>
      </x:c>
      <x:c r="P345" s="13" t="str">
        <x:f>IF(COUNT(H345:I345)=2,SUM(H345:I345),"")</x:f>
      </x:c>
      <x:c r="Q345" s="13" t="str">
        <x:f>IF(AND(ISNUMBER(O345),COUNT(L345:N345)=3),O345+L345-M345-N345,"")</x:f>
      </x:c>
      <x:c r="R345" s="13" t="str">
        <x:f>IF(AND(A345&lt;&gt;"",B345&lt;&gt;"",ISNUMBER(P345),ISNUMBER(Q345)),P345-Q345,"")</x:f>
      </x:c>
      <x:c r="S345" s="13" t="str">
        <x:f>IF(COUNT(H345,J345)=2,J345-H345,"")</x:f>
      </x:c>
      <x:c r="T345" s="13" t="str">
        <x:f>IF(COUNT(I345,K345)=2,K345-I345,"")</x:f>
      </x:c>
      <x:c r="U345" s="10" t="str">
        <x:f>IF(NOT(OR(A345&lt;&gt;"",B345&lt;&gt;"",COUNT(D345:N345)&gt;0)),"",IF(OR(A345="",B345="",COUNT(D345:E345,H345:I345,L345:N345)&lt;&gt;7),"ناقص",IF(OR(MIN(D345:E345,H345:I345,L345:N345)&lt;0,Q345&lt;0),"ورودی نامعتبر",IF(R345&lt;0,"کسری",IF(R345&gt;0,"اضافه","بدون مغایرت")))))</x:f>
      </x:c>
      <x:c r="V345" s="10" t="str">
        <x:f>IF(OR(A345="",B345=""),"",IF(COUNTIFS($A$8:$A$507,A345,$B$8:$B$507,B345)&gt;1,"ثبت تکراری",""))</x:f>
      </x:c>
      <x:c r="W345" s="9"/>
    </x:row>
    <x:row r="346" ht="25" customHeight="1">
      <x:c r="A346" s="11"/>
      <x:c r="B346" s="11"/>
      <x:c r="C346" s="11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3" t="str">
        <x:f>IF(COUNT(D346:E346)=2,SUM(D346:E346),"")</x:f>
      </x:c>
      <x:c r="P346" s="13" t="str">
        <x:f>IF(COUNT(H346:I346)=2,SUM(H346:I346),"")</x:f>
      </x:c>
      <x:c r="Q346" s="13" t="str">
        <x:f>IF(AND(ISNUMBER(O346),COUNT(L346:N346)=3),O346+L346-M346-N346,"")</x:f>
      </x:c>
      <x:c r="R346" s="13" t="str">
        <x:f>IF(AND(A346&lt;&gt;"",B346&lt;&gt;"",ISNUMBER(P346),ISNUMBER(Q346)),P346-Q346,"")</x:f>
      </x:c>
      <x:c r="S346" s="13" t="str">
        <x:f>IF(COUNT(H346,J346)=2,J346-H346,"")</x:f>
      </x:c>
      <x:c r="T346" s="13" t="str">
        <x:f>IF(COUNT(I346,K346)=2,K346-I346,"")</x:f>
      </x:c>
      <x:c r="U346" s="10" t="str">
        <x:f>IF(NOT(OR(A346&lt;&gt;"",B346&lt;&gt;"",COUNT(D346:N346)&gt;0)),"",IF(OR(A346="",B346="",COUNT(D346:E346,H346:I346,L346:N346)&lt;&gt;7),"ناقص",IF(OR(MIN(D346:E346,H346:I346,L346:N346)&lt;0,Q346&lt;0),"ورودی نامعتبر",IF(R346&lt;0,"کسری",IF(R346&gt;0,"اضافه","بدون مغایرت")))))</x:f>
      </x:c>
      <x:c r="V346" s="10" t="str">
        <x:f>IF(OR(A346="",B346=""),"",IF(COUNTIFS($A$8:$A$507,A346,$B$8:$B$507,B346)&gt;1,"ثبت تکراری",""))</x:f>
      </x:c>
      <x:c r="W346" s="9"/>
    </x:row>
    <x:row r="347" ht="25" customHeight="1">
      <x:c r="A347" s="11"/>
      <x:c r="B347" s="11"/>
      <x:c r="C347" s="11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3" t="str">
        <x:f>IF(COUNT(D347:E347)=2,SUM(D347:E347),"")</x:f>
      </x:c>
      <x:c r="P347" s="13" t="str">
        <x:f>IF(COUNT(H347:I347)=2,SUM(H347:I347),"")</x:f>
      </x:c>
      <x:c r="Q347" s="13" t="str">
        <x:f>IF(AND(ISNUMBER(O347),COUNT(L347:N347)=3),O347+L347-M347-N347,"")</x:f>
      </x:c>
      <x:c r="R347" s="13" t="str">
        <x:f>IF(AND(A347&lt;&gt;"",B347&lt;&gt;"",ISNUMBER(P347),ISNUMBER(Q347)),P347-Q347,"")</x:f>
      </x:c>
      <x:c r="S347" s="13" t="str">
        <x:f>IF(COUNT(H347,J347)=2,J347-H347,"")</x:f>
      </x:c>
      <x:c r="T347" s="13" t="str">
        <x:f>IF(COUNT(I347,K347)=2,K347-I347,"")</x:f>
      </x:c>
      <x:c r="U347" s="10" t="str">
        <x:f>IF(NOT(OR(A347&lt;&gt;"",B347&lt;&gt;"",COUNT(D347:N347)&gt;0)),"",IF(OR(A347="",B347="",COUNT(D347:E347,H347:I347,L347:N347)&lt;&gt;7),"ناقص",IF(OR(MIN(D347:E347,H347:I347,L347:N347)&lt;0,Q347&lt;0),"ورودی نامعتبر",IF(R347&lt;0,"کسری",IF(R347&gt;0,"اضافه","بدون مغایرت")))))</x:f>
      </x:c>
      <x:c r="V347" s="10" t="str">
        <x:f>IF(OR(A347="",B347=""),"",IF(COUNTIFS($A$8:$A$507,A347,$B$8:$B$507,B347)&gt;1,"ثبت تکراری",""))</x:f>
      </x:c>
      <x:c r="W347" s="9"/>
    </x:row>
    <x:row r="348" ht="25" customHeight="1">
      <x:c r="A348" s="11"/>
      <x:c r="B348" s="11"/>
      <x:c r="C348" s="11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3" t="str">
        <x:f>IF(COUNT(D348:E348)=2,SUM(D348:E348),"")</x:f>
      </x:c>
      <x:c r="P348" s="13" t="str">
        <x:f>IF(COUNT(H348:I348)=2,SUM(H348:I348),"")</x:f>
      </x:c>
      <x:c r="Q348" s="13" t="str">
        <x:f>IF(AND(ISNUMBER(O348),COUNT(L348:N348)=3),O348+L348-M348-N348,"")</x:f>
      </x:c>
      <x:c r="R348" s="13" t="str">
        <x:f>IF(AND(A348&lt;&gt;"",B348&lt;&gt;"",ISNUMBER(P348),ISNUMBER(Q348)),P348-Q348,"")</x:f>
      </x:c>
      <x:c r="S348" s="13" t="str">
        <x:f>IF(COUNT(H348,J348)=2,J348-H348,"")</x:f>
      </x:c>
      <x:c r="T348" s="13" t="str">
        <x:f>IF(COUNT(I348,K348)=2,K348-I348,"")</x:f>
      </x:c>
      <x:c r="U348" s="10" t="str">
        <x:f>IF(NOT(OR(A348&lt;&gt;"",B348&lt;&gt;"",COUNT(D348:N348)&gt;0)),"",IF(OR(A348="",B348="",COUNT(D348:E348,H348:I348,L348:N348)&lt;&gt;7),"ناقص",IF(OR(MIN(D348:E348,H348:I348,L348:N348)&lt;0,Q348&lt;0),"ورودی نامعتبر",IF(R348&lt;0,"کسری",IF(R348&gt;0,"اضافه","بدون مغایرت")))))</x:f>
      </x:c>
      <x:c r="V348" s="10" t="str">
        <x:f>IF(OR(A348="",B348=""),"",IF(COUNTIFS($A$8:$A$507,A348,$B$8:$B$507,B348)&gt;1,"ثبت تکراری",""))</x:f>
      </x:c>
      <x:c r="W348" s="9"/>
    </x:row>
    <x:row r="349" ht="25" customHeight="1">
      <x:c r="A349" s="11"/>
      <x:c r="B349" s="11"/>
      <x:c r="C349" s="11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3" t="str">
        <x:f>IF(COUNT(D349:E349)=2,SUM(D349:E349),"")</x:f>
      </x:c>
      <x:c r="P349" s="13" t="str">
        <x:f>IF(COUNT(H349:I349)=2,SUM(H349:I349),"")</x:f>
      </x:c>
      <x:c r="Q349" s="13" t="str">
        <x:f>IF(AND(ISNUMBER(O349),COUNT(L349:N349)=3),O349+L349-M349-N349,"")</x:f>
      </x:c>
      <x:c r="R349" s="13" t="str">
        <x:f>IF(AND(A349&lt;&gt;"",B349&lt;&gt;"",ISNUMBER(P349),ISNUMBER(Q349)),P349-Q349,"")</x:f>
      </x:c>
      <x:c r="S349" s="13" t="str">
        <x:f>IF(COUNT(H349,J349)=2,J349-H349,"")</x:f>
      </x:c>
      <x:c r="T349" s="13" t="str">
        <x:f>IF(COUNT(I349,K349)=2,K349-I349,"")</x:f>
      </x:c>
      <x:c r="U349" s="10" t="str">
        <x:f>IF(NOT(OR(A349&lt;&gt;"",B349&lt;&gt;"",COUNT(D349:N349)&gt;0)),"",IF(OR(A349="",B349="",COUNT(D349:E349,H349:I349,L349:N349)&lt;&gt;7),"ناقص",IF(OR(MIN(D349:E349,H349:I349,L349:N349)&lt;0,Q349&lt;0),"ورودی نامعتبر",IF(R349&lt;0,"کسری",IF(R349&gt;0,"اضافه","بدون مغایرت")))))</x:f>
      </x:c>
      <x:c r="V349" s="10" t="str">
        <x:f>IF(OR(A349="",B349=""),"",IF(COUNTIFS($A$8:$A$507,A349,$B$8:$B$507,B349)&gt;1,"ثبت تکراری",""))</x:f>
      </x:c>
      <x:c r="W349" s="9"/>
    </x:row>
    <x:row r="350" ht="25" customHeight="1">
      <x:c r="A350" s="11"/>
      <x:c r="B350" s="11"/>
      <x:c r="C350" s="11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3" t="str">
        <x:f>IF(COUNT(D350:E350)=2,SUM(D350:E350),"")</x:f>
      </x:c>
      <x:c r="P350" s="13" t="str">
        <x:f>IF(COUNT(H350:I350)=2,SUM(H350:I350),"")</x:f>
      </x:c>
      <x:c r="Q350" s="13" t="str">
        <x:f>IF(AND(ISNUMBER(O350),COUNT(L350:N350)=3),O350+L350-M350-N350,"")</x:f>
      </x:c>
      <x:c r="R350" s="13" t="str">
        <x:f>IF(AND(A350&lt;&gt;"",B350&lt;&gt;"",ISNUMBER(P350),ISNUMBER(Q350)),P350-Q350,"")</x:f>
      </x:c>
      <x:c r="S350" s="13" t="str">
        <x:f>IF(COUNT(H350,J350)=2,J350-H350,"")</x:f>
      </x:c>
      <x:c r="T350" s="13" t="str">
        <x:f>IF(COUNT(I350,K350)=2,K350-I350,"")</x:f>
      </x:c>
      <x:c r="U350" s="10" t="str">
        <x:f>IF(NOT(OR(A350&lt;&gt;"",B350&lt;&gt;"",COUNT(D350:N350)&gt;0)),"",IF(OR(A350="",B350="",COUNT(D350:E350,H350:I350,L350:N350)&lt;&gt;7),"ناقص",IF(OR(MIN(D350:E350,H350:I350,L350:N350)&lt;0,Q350&lt;0),"ورودی نامعتبر",IF(R350&lt;0,"کسری",IF(R350&gt;0,"اضافه","بدون مغایرت")))))</x:f>
      </x:c>
      <x:c r="V350" s="10" t="str">
        <x:f>IF(OR(A350="",B350=""),"",IF(COUNTIFS($A$8:$A$507,A350,$B$8:$B$507,B350)&gt;1,"ثبت تکراری",""))</x:f>
      </x:c>
      <x:c r="W350" s="9"/>
    </x:row>
    <x:row r="351" ht="25" customHeight="1">
      <x:c r="A351" s="11"/>
      <x:c r="B351" s="11"/>
      <x:c r="C351" s="11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3" t="str">
        <x:f>IF(COUNT(D351:E351)=2,SUM(D351:E351),"")</x:f>
      </x:c>
      <x:c r="P351" s="13" t="str">
        <x:f>IF(COUNT(H351:I351)=2,SUM(H351:I351),"")</x:f>
      </x:c>
      <x:c r="Q351" s="13" t="str">
        <x:f>IF(AND(ISNUMBER(O351),COUNT(L351:N351)=3),O351+L351-M351-N351,"")</x:f>
      </x:c>
      <x:c r="R351" s="13" t="str">
        <x:f>IF(AND(A351&lt;&gt;"",B351&lt;&gt;"",ISNUMBER(P351),ISNUMBER(Q351)),P351-Q351,"")</x:f>
      </x:c>
      <x:c r="S351" s="13" t="str">
        <x:f>IF(COUNT(H351,J351)=2,J351-H351,"")</x:f>
      </x:c>
      <x:c r="T351" s="13" t="str">
        <x:f>IF(COUNT(I351,K351)=2,K351-I351,"")</x:f>
      </x:c>
      <x:c r="U351" s="10" t="str">
        <x:f>IF(NOT(OR(A351&lt;&gt;"",B351&lt;&gt;"",COUNT(D351:N351)&gt;0)),"",IF(OR(A351="",B351="",COUNT(D351:E351,H351:I351,L351:N351)&lt;&gt;7),"ناقص",IF(OR(MIN(D351:E351,H351:I351,L351:N351)&lt;0,Q351&lt;0),"ورودی نامعتبر",IF(R351&lt;0,"کسری",IF(R351&gt;0,"اضافه","بدون مغایرت")))))</x:f>
      </x:c>
      <x:c r="V351" s="10" t="str">
        <x:f>IF(OR(A351="",B351=""),"",IF(COUNTIFS($A$8:$A$507,A351,$B$8:$B$507,B351)&gt;1,"ثبت تکراری",""))</x:f>
      </x:c>
      <x:c r="W351" s="9"/>
    </x:row>
    <x:row r="352" ht="25" customHeight="1">
      <x:c r="A352" s="11"/>
      <x:c r="B352" s="11"/>
      <x:c r="C352" s="11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3" t="str">
        <x:f>IF(COUNT(D352:E352)=2,SUM(D352:E352),"")</x:f>
      </x:c>
      <x:c r="P352" s="13" t="str">
        <x:f>IF(COUNT(H352:I352)=2,SUM(H352:I352),"")</x:f>
      </x:c>
      <x:c r="Q352" s="13" t="str">
        <x:f>IF(AND(ISNUMBER(O352),COUNT(L352:N352)=3),O352+L352-M352-N352,"")</x:f>
      </x:c>
      <x:c r="R352" s="13" t="str">
        <x:f>IF(AND(A352&lt;&gt;"",B352&lt;&gt;"",ISNUMBER(P352),ISNUMBER(Q352)),P352-Q352,"")</x:f>
      </x:c>
      <x:c r="S352" s="13" t="str">
        <x:f>IF(COUNT(H352,J352)=2,J352-H352,"")</x:f>
      </x:c>
      <x:c r="T352" s="13" t="str">
        <x:f>IF(COUNT(I352,K352)=2,K352-I352,"")</x:f>
      </x:c>
      <x:c r="U352" s="10" t="str">
        <x:f>IF(NOT(OR(A352&lt;&gt;"",B352&lt;&gt;"",COUNT(D352:N352)&gt;0)),"",IF(OR(A352="",B352="",COUNT(D352:E352,H352:I352,L352:N352)&lt;&gt;7),"ناقص",IF(OR(MIN(D352:E352,H352:I352,L352:N352)&lt;0,Q352&lt;0),"ورودی نامعتبر",IF(R352&lt;0,"کسری",IF(R352&gt;0,"اضافه","بدون مغایرت")))))</x:f>
      </x:c>
      <x:c r="V352" s="10" t="str">
        <x:f>IF(OR(A352="",B352=""),"",IF(COUNTIFS($A$8:$A$507,A352,$B$8:$B$507,B352)&gt;1,"ثبت تکراری",""))</x:f>
      </x:c>
      <x:c r="W352" s="9"/>
    </x:row>
    <x:row r="353" ht="25" customHeight="1">
      <x:c r="A353" s="11"/>
      <x:c r="B353" s="11"/>
      <x:c r="C353" s="11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3" t="str">
        <x:f>IF(COUNT(D353:E353)=2,SUM(D353:E353),"")</x:f>
      </x:c>
      <x:c r="P353" s="13" t="str">
        <x:f>IF(COUNT(H353:I353)=2,SUM(H353:I353),"")</x:f>
      </x:c>
      <x:c r="Q353" s="13" t="str">
        <x:f>IF(AND(ISNUMBER(O353),COUNT(L353:N353)=3),O353+L353-M353-N353,"")</x:f>
      </x:c>
      <x:c r="R353" s="13" t="str">
        <x:f>IF(AND(A353&lt;&gt;"",B353&lt;&gt;"",ISNUMBER(P353),ISNUMBER(Q353)),P353-Q353,"")</x:f>
      </x:c>
      <x:c r="S353" s="13" t="str">
        <x:f>IF(COUNT(H353,J353)=2,J353-H353,"")</x:f>
      </x:c>
      <x:c r="T353" s="13" t="str">
        <x:f>IF(COUNT(I353,K353)=2,K353-I353,"")</x:f>
      </x:c>
      <x:c r="U353" s="10" t="str">
        <x:f>IF(NOT(OR(A353&lt;&gt;"",B353&lt;&gt;"",COUNT(D353:N353)&gt;0)),"",IF(OR(A353="",B353="",COUNT(D353:E353,H353:I353,L353:N353)&lt;&gt;7),"ناقص",IF(OR(MIN(D353:E353,H353:I353,L353:N353)&lt;0,Q353&lt;0),"ورودی نامعتبر",IF(R353&lt;0,"کسری",IF(R353&gt;0,"اضافه","بدون مغایرت")))))</x:f>
      </x:c>
      <x:c r="V353" s="10" t="str">
        <x:f>IF(OR(A353="",B353=""),"",IF(COUNTIFS($A$8:$A$507,A353,$B$8:$B$507,B353)&gt;1,"ثبت تکراری",""))</x:f>
      </x:c>
      <x:c r="W353" s="9"/>
    </x:row>
    <x:row r="354" ht="25" customHeight="1">
      <x:c r="A354" s="11"/>
      <x:c r="B354" s="11"/>
      <x:c r="C354" s="11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3" t="str">
        <x:f>IF(COUNT(D354:E354)=2,SUM(D354:E354),"")</x:f>
      </x:c>
      <x:c r="P354" s="13" t="str">
        <x:f>IF(COUNT(H354:I354)=2,SUM(H354:I354),"")</x:f>
      </x:c>
      <x:c r="Q354" s="13" t="str">
        <x:f>IF(AND(ISNUMBER(O354),COUNT(L354:N354)=3),O354+L354-M354-N354,"")</x:f>
      </x:c>
      <x:c r="R354" s="13" t="str">
        <x:f>IF(AND(A354&lt;&gt;"",B354&lt;&gt;"",ISNUMBER(P354),ISNUMBER(Q354)),P354-Q354,"")</x:f>
      </x:c>
      <x:c r="S354" s="13" t="str">
        <x:f>IF(COUNT(H354,J354)=2,J354-H354,"")</x:f>
      </x:c>
      <x:c r="T354" s="13" t="str">
        <x:f>IF(COUNT(I354,K354)=2,K354-I354,"")</x:f>
      </x:c>
      <x:c r="U354" s="10" t="str">
        <x:f>IF(NOT(OR(A354&lt;&gt;"",B354&lt;&gt;"",COUNT(D354:N354)&gt;0)),"",IF(OR(A354="",B354="",COUNT(D354:E354,H354:I354,L354:N354)&lt;&gt;7),"ناقص",IF(OR(MIN(D354:E354,H354:I354,L354:N354)&lt;0,Q354&lt;0),"ورودی نامعتبر",IF(R354&lt;0,"کسری",IF(R354&gt;0,"اضافه","بدون مغایرت")))))</x:f>
      </x:c>
      <x:c r="V354" s="10" t="str">
        <x:f>IF(OR(A354="",B354=""),"",IF(COUNTIFS($A$8:$A$507,A354,$B$8:$B$507,B354)&gt;1,"ثبت تکراری",""))</x:f>
      </x:c>
      <x:c r="W354" s="9"/>
    </x:row>
    <x:row r="355" ht="25" customHeight="1">
      <x:c r="A355" s="11"/>
      <x:c r="B355" s="11"/>
      <x:c r="C355" s="11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3" t="str">
        <x:f>IF(COUNT(D355:E355)=2,SUM(D355:E355),"")</x:f>
      </x:c>
      <x:c r="P355" s="13" t="str">
        <x:f>IF(COUNT(H355:I355)=2,SUM(H355:I355),"")</x:f>
      </x:c>
      <x:c r="Q355" s="13" t="str">
        <x:f>IF(AND(ISNUMBER(O355),COUNT(L355:N355)=3),O355+L355-M355-N355,"")</x:f>
      </x:c>
      <x:c r="R355" s="13" t="str">
        <x:f>IF(AND(A355&lt;&gt;"",B355&lt;&gt;"",ISNUMBER(P355),ISNUMBER(Q355)),P355-Q355,"")</x:f>
      </x:c>
      <x:c r="S355" s="13" t="str">
        <x:f>IF(COUNT(H355,J355)=2,J355-H355,"")</x:f>
      </x:c>
      <x:c r="T355" s="13" t="str">
        <x:f>IF(COUNT(I355,K355)=2,K355-I355,"")</x:f>
      </x:c>
      <x:c r="U355" s="10" t="str">
        <x:f>IF(NOT(OR(A355&lt;&gt;"",B355&lt;&gt;"",COUNT(D355:N355)&gt;0)),"",IF(OR(A355="",B355="",COUNT(D355:E355,H355:I355,L355:N355)&lt;&gt;7),"ناقص",IF(OR(MIN(D355:E355,H355:I355,L355:N355)&lt;0,Q355&lt;0),"ورودی نامعتبر",IF(R355&lt;0,"کسری",IF(R355&gt;0,"اضافه","بدون مغایرت")))))</x:f>
      </x:c>
      <x:c r="V355" s="10" t="str">
        <x:f>IF(OR(A355="",B355=""),"",IF(COUNTIFS($A$8:$A$507,A355,$B$8:$B$507,B355)&gt;1,"ثبت تکراری",""))</x:f>
      </x:c>
      <x:c r="W355" s="9"/>
    </x:row>
    <x:row r="356" ht="25" customHeight="1">
      <x:c r="A356" s="11"/>
      <x:c r="B356" s="11"/>
      <x:c r="C356" s="11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3" t="str">
        <x:f>IF(COUNT(D356:E356)=2,SUM(D356:E356),"")</x:f>
      </x:c>
      <x:c r="P356" s="13" t="str">
        <x:f>IF(COUNT(H356:I356)=2,SUM(H356:I356),"")</x:f>
      </x:c>
      <x:c r="Q356" s="13" t="str">
        <x:f>IF(AND(ISNUMBER(O356),COUNT(L356:N356)=3),O356+L356-M356-N356,"")</x:f>
      </x:c>
      <x:c r="R356" s="13" t="str">
        <x:f>IF(AND(A356&lt;&gt;"",B356&lt;&gt;"",ISNUMBER(P356),ISNUMBER(Q356)),P356-Q356,"")</x:f>
      </x:c>
      <x:c r="S356" s="13" t="str">
        <x:f>IF(COUNT(H356,J356)=2,J356-H356,"")</x:f>
      </x:c>
      <x:c r="T356" s="13" t="str">
        <x:f>IF(COUNT(I356,K356)=2,K356-I356,"")</x:f>
      </x:c>
      <x:c r="U356" s="10" t="str">
        <x:f>IF(NOT(OR(A356&lt;&gt;"",B356&lt;&gt;"",COUNT(D356:N356)&gt;0)),"",IF(OR(A356="",B356="",COUNT(D356:E356,H356:I356,L356:N356)&lt;&gt;7),"ناقص",IF(OR(MIN(D356:E356,H356:I356,L356:N356)&lt;0,Q356&lt;0),"ورودی نامعتبر",IF(R356&lt;0,"کسری",IF(R356&gt;0,"اضافه","بدون مغایرت")))))</x:f>
      </x:c>
      <x:c r="V356" s="10" t="str">
        <x:f>IF(OR(A356="",B356=""),"",IF(COUNTIFS($A$8:$A$507,A356,$B$8:$B$507,B356)&gt;1,"ثبت تکراری",""))</x:f>
      </x:c>
      <x:c r="W356" s="9"/>
    </x:row>
    <x:row r="357" ht="25" customHeight="1">
      <x:c r="A357" s="11"/>
      <x:c r="B357" s="11"/>
      <x:c r="C357" s="11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3" t="str">
        <x:f>IF(COUNT(D357:E357)=2,SUM(D357:E357),"")</x:f>
      </x:c>
      <x:c r="P357" s="13" t="str">
        <x:f>IF(COUNT(H357:I357)=2,SUM(H357:I357),"")</x:f>
      </x:c>
      <x:c r="Q357" s="13" t="str">
        <x:f>IF(AND(ISNUMBER(O357),COUNT(L357:N357)=3),O357+L357-M357-N357,"")</x:f>
      </x:c>
      <x:c r="R357" s="13" t="str">
        <x:f>IF(AND(A357&lt;&gt;"",B357&lt;&gt;"",ISNUMBER(P357),ISNUMBER(Q357)),P357-Q357,"")</x:f>
      </x:c>
      <x:c r="S357" s="13" t="str">
        <x:f>IF(COUNT(H357,J357)=2,J357-H357,"")</x:f>
      </x:c>
      <x:c r="T357" s="13" t="str">
        <x:f>IF(COUNT(I357,K357)=2,K357-I357,"")</x:f>
      </x:c>
      <x:c r="U357" s="10" t="str">
        <x:f>IF(NOT(OR(A357&lt;&gt;"",B357&lt;&gt;"",COUNT(D357:N357)&gt;0)),"",IF(OR(A357="",B357="",COUNT(D357:E357,H357:I357,L357:N357)&lt;&gt;7),"ناقص",IF(OR(MIN(D357:E357,H357:I357,L357:N357)&lt;0,Q357&lt;0),"ورودی نامعتبر",IF(R357&lt;0,"کسری",IF(R357&gt;0,"اضافه","بدون مغایرت")))))</x:f>
      </x:c>
      <x:c r="V357" s="10" t="str">
        <x:f>IF(OR(A357="",B357=""),"",IF(COUNTIFS($A$8:$A$507,A357,$B$8:$B$507,B357)&gt;1,"ثبت تکراری",""))</x:f>
      </x:c>
      <x:c r="W357" s="9"/>
    </x:row>
    <x:row r="358" ht="25" customHeight="1">
      <x:c r="A358" s="11"/>
      <x:c r="B358" s="11"/>
      <x:c r="C358" s="11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3" t="str">
        <x:f>IF(COUNT(D358:E358)=2,SUM(D358:E358),"")</x:f>
      </x:c>
      <x:c r="P358" s="13" t="str">
        <x:f>IF(COUNT(H358:I358)=2,SUM(H358:I358),"")</x:f>
      </x:c>
      <x:c r="Q358" s="13" t="str">
        <x:f>IF(AND(ISNUMBER(O358),COUNT(L358:N358)=3),O358+L358-M358-N358,"")</x:f>
      </x:c>
      <x:c r="R358" s="13" t="str">
        <x:f>IF(AND(A358&lt;&gt;"",B358&lt;&gt;"",ISNUMBER(P358),ISNUMBER(Q358)),P358-Q358,"")</x:f>
      </x:c>
      <x:c r="S358" s="13" t="str">
        <x:f>IF(COUNT(H358,J358)=2,J358-H358,"")</x:f>
      </x:c>
      <x:c r="T358" s="13" t="str">
        <x:f>IF(COUNT(I358,K358)=2,K358-I358,"")</x:f>
      </x:c>
      <x:c r="U358" s="10" t="str">
        <x:f>IF(NOT(OR(A358&lt;&gt;"",B358&lt;&gt;"",COUNT(D358:N358)&gt;0)),"",IF(OR(A358="",B358="",COUNT(D358:E358,H358:I358,L358:N358)&lt;&gt;7),"ناقص",IF(OR(MIN(D358:E358,H358:I358,L358:N358)&lt;0,Q358&lt;0),"ورودی نامعتبر",IF(R358&lt;0,"کسری",IF(R358&gt;0,"اضافه","بدون مغایرت")))))</x:f>
      </x:c>
      <x:c r="V358" s="10" t="str">
        <x:f>IF(OR(A358="",B358=""),"",IF(COUNTIFS($A$8:$A$507,A358,$B$8:$B$507,B358)&gt;1,"ثبت تکراری",""))</x:f>
      </x:c>
      <x:c r="W358" s="9"/>
    </x:row>
    <x:row r="359" ht="25" customHeight="1">
      <x:c r="A359" s="11"/>
      <x:c r="B359" s="11"/>
      <x:c r="C359" s="11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3" t="str">
        <x:f>IF(COUNT(D359:E359)=2,SUM(D359:E359),"")</x:f>
      </x:c>
      <x:c r="P359" s="13" t="str">
        <x:f>IF(COUNT(H359:I359)=2,SUM(H359:I359),"")</x:f>
      </x:c>
      <x:c r="Q359" s="13" t="str">
        <x:f>IF(AND(ISNUMBER(O359),COUNT(L359:N359)=3),O359+L359-M359-N359,"")</x:f>
      </x:c>
      <x:c r="R359" s="13" t="str">
        <x:f>IF(AND(A359&lt;&gt;"",B359&lt;&gt;"",ISNUMBER(P359),ISNUMBER(Q359)),P359-Q359,"")</x:f>
      </x:c>
      <x:c r="S359" s="13" t="str">
        <x:f>IF(COUNT(H359,J359)=2,J359-H359,"")</x:f>
      </x:c>
      <x:c r="T359" s="13" t="str">
        <x:f>IF(COUNT(I359,K359)=2,K359-I359,"")</x:f>
      </x:c>
      <x:c r="U359" s="10" t="str">
        <x:f>IF(NOT(OR(A359&lt;&gt;"",B359&lt;&gt;"",COUNT(D359:N359)&gt;0)),"",IF(OR(A359="",B359="",COUNT(D359:E359,H359:I359,L359:N359)&lt;&gt;7),"ناقص",IF(OR(MIN(D359:E359,H359:I359,L359:N359)&lt;0,Q359&lt;0),"ورودی نامعتبر",IF(R359&lt;0,"کسری",IF(R359&gt;0,"اضافه","بدون مغایرت")))))</x:f>
      </x:c>
      <x:c r="V359" s="10" t="str">
        <x:f>IF(OR(A359="",B359=""),"",IF(COUNTIFS($A$8:$A$507,A359,$B$8:$B$507,B359)&gt;1,"ثبت تکراری",""))</x:f>
      </x:c>
      <x:c r="W359" s="9"/>
    </x:row>
    <x:row r="360" ht="25" customHeight="1">
      <x:c r="A360" s="11"/>
      <x:c r="B360" s="11"/>
      <x:c r="C360" s="11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3" t="str">
        <x:f>IF(COUNT(D360:E360)=2,SUM(D360:E360),"")</x:f>
      </x:c>
      <x:c r="P360" s="13" t="str">
        <x:f>IF(COUNT(H360:I360)=2,SUM(H360:I360),"")</x:f>
      </x:c>
      <x:c r="Q360" s="13" t="str">
        <x:f>IF(AND(ISNUMBER(O360),COUNT(L360:N360)=3),O360+L360-M360-N360,"")</x:f>
      </x:c>
      <x:c r="R360" s="13" t="str">
        <x:f>IF(AND(A360&lt;&gt;"",B360&lt;&gt;"",ISNUMBER(P360),ISNUMBER(Q360)),P360-Q360,"")</x:f>
      </x:c>
      <x:c r="S360" s="13" t="str">
        <x:f>IF(COUNT(H360,J360)=2,J360-H360,"")</x:f>
      </x:c>
      <x:c r="T360" s="13" t="str">
        <x:f>IF(COUNT(I360,K360)=2,K360-I360,"")</x:f>
      </x:c>
      <x:c r="U360" s="10" t="str">
        <x:f>IF(NOT(OR(A360&lt;&gt;"",B360&lt;&gt;"",COUNT(D360:N360)&gt;0)),"",IF(OR(A360="",B360="",COUNT(D360:E360,H360:I360,L360:N360)&lt;&gt;7),"ناقص",IF(OR(MIN(D360:E360,H360:I360,L360:N360)&lt;0,Q360&lt;0),"ورودی نامعتبر",IF(R360&lt;0,"کسری",IF(R360&gt;0,"اضافه","بدون مغایرت")))))</x:f>
      </x:c>
      <x:c r="V360" s="10" t="str">
        <x:f>IF(OR(A360="",B360=""),"",IF(COUNTIFS($A$8:$A$507,A360,$B$8:$B$507,B360)&gt;1,"ثبت تکراری",""))</x:f>
      </x:c>
      <x:c r="W360" s="9"/>
    </x:row>
    <x:row r="361" ht="25" customHeight="1">
      <x:c r="A361" s="11"/>
      <x:c r="B361" s="11"/>
      <x:c r="C361" s="11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3" t="str">
        <x:f>IF(COUNT(D361:E361)=2,SUM(D361:E361),"")</x:f>
      </x:c>
      <x:c r="P361" s="13" t="str">
        <x:f>IF(COUNT(H361:I361)=2,SUM(H361:I361),"")</x:f>
      </x:c>
      <x:c r="Q361" s="13" t="str">
        <x:f>IF(AND(ISNUMBER(O361),COUNT(L361:N361)=3),O361+L361-M361-N361,"")</x:f>
      </x:c>
      <x:c r="R361" s="13" t="str">
        <x:f>IF(AND(A361&lt;&gt;"",B361&lt;&gt;"",ISNUMBER(P361),ISNUMBER(Q361)),P361-Q361,"")</x:f>
      </x:c>
      <x:c r="S361" s="13" t="str">
        <x:f>IF(COUNT(H361,J361)=2,J361-H361,"")</x:f>
      </x:c>
      <x:c r="T361" s="13" t="str">
        <x:f>IF(COUNT(I361,K361)=2,K361-I361,"")</x:f>
      </x:c>
      <x:c r="U361" s="10" t="str">
        <x:f>IF(NOT(OR(A361&lt;&gt;"",B361&lt;&gt;"",COUNT(D361:N361)&gt;0)),"",IF(OR(A361="",B361="",COUNT(D361:E361,H361:I361,L361:N361)&lt;&gt;7),"ناقص",IF(OR(MIN(D361:E361,H361:I361,L361:N361)&lt;0,Q361&lt;0),"ورودی نامعتبر",IF(R361&lt;0,"کسری",IF(R361&gt;0,"اضافه","بدون مغایرت")))))</x:f>
      </x:c>
      <x:c r="V361" s="10" t="str">
        <x:f>IF(OR(A361="",B361=""),"",IF(COUNTIFS($A$8:$A$507,A361,$B$8:$B$507,B361)&gt;1,"ثبت تکراری",""))</x:f>
      </x:c>
      <x:c r="W361" s="9"/>
    </x:row>
    <x:row r="362" ht="25" customHeight="1">
      <x:c r="A362" s="11"/>
      <x:c r="B362" s="11"/>
      <x:c r="C362" s="11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3" t="str">
        <x:f>IF(COUNT(D362:E362)=2,SUM(D362:E362),"")</x:f>
      </x:c>
      <x:c r="P362" s="13" t="str">
        <x:f>IF(COUNT(H362:I362)=2,SUM(H362:I362),"")</x:f>
      </x:c>
      <x:c r="Q362" s="13" t="str">
        <x:f>IF(AND(ISNUMBER(O362),COUNT(L362:N362)=3),O362+L362-M362-N362,"")</x:f>
      </x:c>
      <x:c r="R362" s="13" t="str">
        <x:f>IF(AND(A362&lt;&gt;"",B362&lt;&gt;"",ISNUMBER(P362),ISNUMBER(Q362)),P362-Q362,"")</x:f>
      </x:c>
      <x:c r="S362" s="13" t="str">
        <x:f>IF(COUNT(H362,J362)=2,J362-H362,"")</x:f>
      </x:c>
      <x:c r="T362" s="13" t="str">
        <x:f>IF(COUNT(I362,K362)=2,K362-I362,"")</x:f>
      </x:c>
      <x:c r="U362" s="10" t="str">
        <x:f>IF(NOT(OR(A362&lt;&gt;"",B362&lt;&gt;"",COUNT(D362:N362)&gt;0)),"",IF(OR(A362="",B362="",COUNT(D362:E362,H362:I362,L362:N362)&lt;&gt;7),"ناقص",IF(OR(MIN(D362:E362,H362:I362,L362:N362)&lt;0,Q362&lt;0),"ورودی نامعتبر",IF(R362&lt;0,"کسری",IF(R362&gt;0,"اضافه","بدون مغایرت")))))</x:f>
      </x:c>
      <x:c r="V362" s="10" t="str">
        <x:f>IF(OR(A362="",B362=""),"",IF(COUNTIFS($A$8:$A$507,A362,$B$8:$B$507,B362)&gt;1,"ثبت تکراری",""))</x:f>
      </x:c>
      <x:c r="W362" s="9"/>
    </x:row>
    <x:row r="363" ht="25" customHeight="1">
      <x:c r="A363" s="11"/>
      <x:c r="B363" s="11"/>
      <x:c r="C363" s="11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3" t="str">
        <x:f>IF(COUNT(D363:E363)=2,SUM(D363:E363),"")</x:f>
      </x:c>
      <x:c r="P363" s="13" t="str">
        <x:f>IF(COUNT(H363:I363)=2,SUM(H363:I363),"")</x:f>
      </x:c>
      <x:c r="Q363" s="13" t="str">
        <x:f>IF(AND(ISNUMBER(O363),COUNT(L363:N363)=3),O363+L363-M363-N363,"")</x:f>
      </x:c>
      <x:c r="R363" s="13" t="str">
        <x:f>IF(AND(A363&lt;&gt;"",B363&lt;&gt;"",ISNUMBER(P363),ISNUMBER(Q363)),P363-Q363,"")</x:f>
      </x:c>
      <x:c r="S363" s="13" t="str">
        <x:f>IF(COUNT(H363,J363)=2,J363-H363,"")</x:f>
      </x:c>
      <x:c r="T363" s="13" t="str">
        <x:f>IF(COUNT(I363,K363)=2,K363-I363,"")</x:f>
      </x:c>
      <x:c r="U363" s="10" t="str">
        <x:f>IF(NOT(OR(A363&lt;&gt;"",B363&lt;&gt;"",COUNT(D363:N363)&gt;0)),"",IF(OR(A363="",B363="",COUNT(D363:E363,H363:I363,L363:N363)&lt;&gt;7),"ناقص",IF(OR(MIN(D363:E363,H363:I363,L363:N363)&lt;0,Q363&lt;0),"ورودی نامعتبر",IF(R363&lt;0,"کسری",IF(R363&gt;0,"اضافه","بدون مغایرت")))))</x:f>
      </x:c>
      <x:c r="V363" s="10" t="str">
        <x:f>IF(OR(A363="",B363=""),"",IF(COUNTIFS($A$8:$A$507,A363,$B$8:$B$507,B363)&gt;1,"ثبت تکراری",""))</x:f>
      </x:c>
      <x:c r="W363" s="9"/>
    </x:row>
    <x:row r="364" ht="25" customHeight="1">
      <x:c r="A364" s="11"/>
      <x:c r="B364" s="11"/>
      <x:c r="C364" s="11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3" t="str">
        <x:f>IF(COUNT(D364:E364)=2,SUM(D364:E364),"")</x:f>
      </x:c>
      <x:c r="P364" s="13" t="str">
        <x:f>IF(COUNT(H364:I364)=2,SUM(H364:I364),"")</x:f>
      </x:c>
      <x:c r="Q364" s="13" t="str">
        <x:f>IF(AND(ISNUMBER(O364),COUNT(L364:N364)=3),O364+L364-M364-N364,"")</x:f>
      </x:c>
      <x:c r="R364" s="13" t="str">
        <x:f>IF(AND(A364&lt;&gt;"",B364&lt;&gt;"",ISNUMBER(P364),ISNUMBER(Q364)),P364-Q364,"")</x:f>
      </x:c>
      <x:c r="S364" s="13" t="str">
        <x:f>IF(COUNT(H364,J364)=2,J364-H364,"")</x:f>
      </x:c>
      <x:c r="T364" s="13" t="str">
        <x:f>IF(COUNT(I364,K364)=2,K364-I364,"")</x:f>
      </x:c>
      <x:c r="U364" s="10" t="str">
        <x:f>IF(NOT(OR(A364&lt;&gt;"",B364&lt;&gt;"",COUNT(D364:N364)&gt;0)),"",IF(OR(A364="",B364="",COUNT(D364:E364,H364:I364,L364:N364)&lt;&gt;7),"ناقص",IF(OR(MIN(D364:E364,H364:I364,L364:N364)&lt;0,Q364&lt;0),"ورودی نامعتبر",IF(R364&lt;0,"کسری",IF(R364&gt;0,"اضافه","بدون مغایرت")))))</x:f>
      </x:c>
      <x:c r="V364" s="10" t="str">
        <x:f>IF(OR(A364="",B364=""),"",IF(COUNTIFS($A$8:$A$507,A364,$B$8:$B$507,B364)&gt;1,"ثبت تکراری",""))</x:f>
      </x:c>
      <x:c r="W364" s="9"/>
    </x:row>
    <x:row r="365" ht="25" customHeight="1">
      <x:c r="A365" s="11"/>
      <x:c r="B365" s="11"/>
      <x:c r="C365" s="11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3" t="str">
        <x:f>IF(COUNT(D365:E365)=2,SUM(D365:E365),"")</x:f>
      </x:c>
      <x:c r="P365" s="13" t="str">
        <x:f>IF(COUNT(H365:I365)=2,SUM(H365:I365),"")</x:f>
      </x:c>
      <x:c r="Q365" s="13" t="str">
        <x:f>IF(AND(ISNUMBER(O365),COUNT(L365:N365)=3),O365+L365-M365-N365,"")</x:f>
      </x:c>
      <x:c r="R365" s="13" t="str">
        <x:f>IF(AND(A365&lt;&gt;"",B365&lt;&gt;"",ISNUMBER(P365),ISNUMBER(Q365)),P365-Q365,"")</x:f>
      </x:c>
      <x:c r="S365" s="13" t="str">
        <x:f>IF(COUNT(H365,J365)=2,J365-H365,"")</x:f>
      </x:c>
      <x:c r="T365" s="13" t="str">
        <x:f>IF(COUNT(I365,K365)=2,K365-I365,"")</x:f>
      </x:c>
      <x:c r="U365" s="10" t="str">
        <x:f>IF(NOT(OR(A365&lt;&gt;"",B365&lt;&gt;"",COUNT(D365:N365)&gt;0)),"",IF(OR(A365="",B365="",COUNT(D365:E365,H365:I365,L365:N365)&lt;&gt;7),"ناقص",IF(OR(MIN(D365:E365,H365:I365,L365:N365)&lt;0,Q365&lt;0),"ورودی نامعتبر",IF(R365&lt;0,"کسری",IF(R365&gt;0,"اضافه","بدون مغایرت")))))</x:f>
      </x:c>
      <x:c r="V365" s="10" t="str">
        <x:f>IF(OR(A365="",B365=""),"",IF(COUNTIFS($A$8:$A$507,A365,$B$8:$B$507,B365)&gt;1,"ثبت تکراری",""))</x:f>
      </x:c>
      <x:c r="W365" s="9"/>
    </x:row>
    <x:row r="366" ht="25" customHeight="1">
      <x:c r="A366" s="11"/>
      <x:c r="B366" s="11"/>
      <x:c r="C366" s="11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3" t="str">
        <x:f>IF(COUNT(D366:E366)=2,SUM(D366:E366),"")</x:f>
      </x:c>
      <x:c r="P366" s="13" t="str">
        <x:f>IF(COUNT(H366:I366)=2,SUM(H366:I366),"")</x:f>
      </x:c>
      <x:c r="Q366" s="13" t="str">
        <x:f>IF(AND(ISNUMBER(O366),COUNT(L366:N366)=3),O366+L366-M366-N366,"")</x:f>
      </x:c>
      <x:c r="R366" s="13" t="str">
        <x:f>IF(AND(A366&lt;&gt;"",B366&lt;&gt;"",ISNUMBER(P366),ISNUMBER(Q366)),P366-Q366,"")</x:f>
      </x:c>
      <x:c r="S366" s="13" t="str">
        <x:f>IF(COUNT(H366,J366)=2,J366-H366,"")</x:f>
      </x:c>
      <x:c r="T366" s="13" t="str">
        <x:f>IF(COUNT(I366,K366)=2,K366-I366,"")</x:f>
      </x:c>
      <x:c r="U366" s="10" t="str">
        <x:f>IF(NOT(OR(A366&lt;&gt;"",B366&lt;&gt;"",COUNT(D366:N366)&gt;0)),"",IF(OR(A366="",B366="",COUNT(D366:E366,H366:I366,L366:N366)&lt;&gt;7),"ناقص",IF(OR(MIN(D366:E366,H366:I366,L366:N366)&lt;0,Q366&lt;0),"ورودی نامعتبر",IF(R366&lt;0,"کسری",IF(R366&gt;0,"اضافه","بدون مغایرت")))))</x:f>
      </x:c>
      <x:c r="V366" s="10" t="str">
        <x:f>IF(OR(A366="",B366=""),"",IF(COUNTIFS($A$8:$A$507,A366,$B$8:$B$507,B366)&gt;1,"ثبت تکراری",""))</x:f>
      </x:c>
      <x:c r="W366" s="9"/>
    </x:row>
    <x:row r="367" ht="25" customHeight="1">
      <x:c r="A367" s="11"/>
      <x:c r="B367" s="11"/>
      <x:c r="C367" s="11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3" t="str">
        <x:f>IF(COUNT(D367:E367)=2,SUM(D367:E367),"")</x:f>
      </x:c>
      <x:c r="P367" s="13" t="str">
        <x:f>IF(COUNT(H367:I367)=2,SUM(H367:I367),"")</x:f>
      </x:c>
      <x:c r="Q367" s="13" t="str">
        <x:f>IF(AND(ISNUMBER(O367),COUNT(L367:N367)=3),O367+L367-M367-N367,"")</x:f>
      </x:c>
      <x:c r="R367" s="13" t="str">
        <x:f>IF(AND(A367&lt;&gt;"",B367&lt;&gt;"",ISNUMBER(P367),ISNUMBER(Q367)),P367-Q367,"")</x:f>
      </x:c>
      <x:c r="S367" s="13" t="str">
        <x:f>IF(COUNT(H367,J367)=2,J367-H367,"")</x:f>
      </x:c>
      <x:c r="T367" s="13" t="str">
        <x:f>IF(COUNT(I367,K367)=2,K367-I367,"")</x:f>
      </x:c>
      <x:c r="U367" s="10" t="str">
        <x:f>IF(NOT(OR(A367&lt;&gt;"",B367&lt;&gt;"",COUNT(D367:N367)&gt;0)),"",IF(OR(A367="",B367="",COUNT(D367:E367,H367:I367,L367:N367)&lt;&gt;7),"ناقص",IF(OR(MIN(D367:E367,H367:I367,L367:N367)&lt;0,Q367&lt;0),"ورودی نامعتبر",IF(R367&lt;0,"کسری",IF(R367&gt;0,"اضافه","بدون مغایرت")))))</x:f>
      </x:c>
      <x:c r="V367" s="10" t="str">
        <x:f>IF(OR(A367="",B367=""),"",IF(COUNTIFS($A$8:$A$507,A367,$B$8:$B$507,B367)&gt;1,"ثبت تکراری",""))</x:f>
      </x:c>
      <x:c r="W367" s="9"/>
    </x:row>
    <x:row r="368" ht="25" customHeight="1">
      <x:c r="A368" s="11"/>
      <x:c r="B368" s="11"/>
      <x:c r="C368" s="11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3" t="str">
        <x:f>IF(COUNT(D368:E368)=2,SUM(D368:E368),"")</x:f>
      </x:c>
      <x:c r="P368" s="13" t="str">
        <x:f>IF(COUNT(H368:I368)=2,SUM(H368:I368),"")</x:f>
      </x:c>
      <x:c r="Q368" s="13" t="str">
        <x:f>IF(AND(ISNUMBER(O368),COUNT(L368:N368)=3),O368+L368-M368-N368,"")</x:f>
      </x:c>
      <x:c r="R368" s="13" t="str">
        <x:f>IF(AND(A368&lt;&gt;"",B368&lt;&gt;"",ISNUMBER(P368),ISNUMBER(Q368)),P368-Q368,"")</x:f>
      </x:c>
      <x:c r="S368" s="13" t="str">
        <x:f>IF(COUNT(H368,J368)=2,J368-H368,"")</x:f>
      </x:c>
      <x:c r="T368" s="13" t="str">
        <x:f>IF(COUNT(I368,K368)=2,K368-I368,"")</x:f>
      </x:c>
      <x:c r="U368" s="10" t="str">
        <x:f>IF(NOT(OR(A368&lt;&gt;"",B368&lt;&gt;"",COUNT(D368:N368)&gt;0)),"",IF(OR(A368="",B368="",COUNT(D368:E368,H368:I368,L368:N368)&lt;&gt;7),"ناقص",IF(OR(MIN(D368:E368,H368:I368,L368:N368)&lt;0,Q368&lt;0),"ورودی نامعتبر",IF(R368&lt;0,"کسری",IF(R368&gt;0,"اضافه","بدون مغایرت")))))</x:f>
      </x:c>
      <x:c r="V368" s="10" t="str">
        <x:f>IF(OR(A368="",B368=""),"",IF(COUNTIFS($A$8:$A$507,A368,$B$8:$B$507,B368)&gt;1,"ثبت تکراری",""))</x:f>
      </x:c>
      <x:c r="W368" s="9"/>
    </x:row>
    <x:row r="369" ht="25" customHeight="1">
      <x:c r="A369" s="11"/>
      <x:c r="B369" s="11"/>
      <x:c r="C369" s="11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3" t="str">
        <x:f>IF(COUNT(D369:E369)=2,SUM(D369:E369),"")</x:f>
      </x:c>
      <x:c r="P369" s="13" t="str">
        <x:f>IF(COUNT(H369:I369)=2,SUM(H369:I369),"")</x:f>
      </x:c>
      <x:c r="Q369" s="13" t="str">
        <x:f>IF(AND(ISNUMBER(O369),COUNT(L369:N369)=3),O369+L369-M369-N369,"")</x:f>
      </x:c>
      <x:c r="R369" s="13" t="str">
        <x:f>IF(AND(A369&lt;&gt;"",B369&lt;&gt;"",ISNUMBER(P369),ISNUMBER(Q369)),P369-Q369,"")</x:f>
      </x:c>
      <x:c r="S369" s="13" t="str">
        <x:f>IF(COUNT(H369,J369)=2,J369-H369,"")</x:f>
      </x:c>
      <x:c r="T369" s="13" t="str">
        <x:f>IF(COUNT(I369,K369)=2,K369-I369,"")</x:f>
      </x:c>
      <x:c r="U369" s="10" t="str">
        <x:f>IF(NOT(OR(A369&lt;&gt;"",B369&lt;&gt;"",COUNT(D369:N369)&gt;0)),"",IF(OR(A369="",B369="",COUNT(D369:E369,H369:I369,L369:N369)&lt;&gt;7),"ناقص",IF(OR(MIN(D369:E369,H369:I369,L369:N369)&lt;0,Q369&lt;0),"ورودی نامعتبر",IF(R369&lt;0,"کسری",IF(R369&gt;0,"اضافه","بدون مغایرت")))))</x:f>
      </x:c>
      <x:c r="V369" s="10" t="str">
        <x:f>IF(OR(A369="",B369=""),"",IF(COUNTIFS($A$8:$A$507,A369,$B$8:$B$507,B369)&gt;1,"ثبت تکراری",""))</x:f>
      </x:c>
      <x:c r="W369" s="9"/>
    </x:row>
    <x:row r="370" ht="25" customHeight="1">
      <x:c r="A370" s="11"/>
      <x:c r="B370" s="11"/>
      <x:c r="C370" s="11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3" t="str">
        <x:f>IF(COUNT(D370:E370)=2,SUM(D370:E370),"")</x:f>
      </x:c>
      <x:c r="P370" s="13" t="str">
        <x:f>IF(COUNT(H370:I370)=2,SUM(H370:I370),"")</x:f>
      </x:c>
      <x:c r="Q370" s="13" t="str">
        <x:f>IF(AND(ISNUMBER(O370),COUNT(L370:N370)=3),O370+L370-M370-N370,"")</x:f>
      </x:c>
      <x:c r="R370" s="13" t="str">
        <x:f>IF(AND(A370&lt;&gt;"",B370&lt;&gt;"",ISNUMBER(P370),ISNUMBER(Q370)),P370-Q370,"")</x:f>
      </x:c>
      <x:c r="S370" s="13" t="str">
        <x:f>IF(COUNT(H370,J370)=2,J370-H370,"")</x:f>
      </x:c>
      <x:c r="T370" s="13" t="str">
        <x:f>IF(COUNT(I370,K370)=2,K370-I370,"")</x:f>
      </x:c>
      <x:c r="U370" s="10" t="str">
        <x:f>IF(NOT(OR(A370&lt;&gt;"",B370&lt;&gt;"",COUNT(D370:N370)&gt;0)),"",IF(OR(A370="",B370="",COUNT(D370:E370,H370:I370,L370:N370)&lt;&gt;7),"ناقص",IF(OR(MIN(D370:E370,H370:I370,L370:N370)&lt;0,Q370&lt;0),"ورودی نامعتبر",IF(R370&lt;0,"کسری",IF(R370&gt;0,"اضافه","بدون مغایرت")))))</x:f>
      </x:c>
      <x:c r="V370" s="10" t="str">
        <x:f>IF(OR(A370="",B370=""),"",IF(COUNTIFS($A$8:$A$507,A370,$B$8:$B$507,B370)&gt;1,"ثبت تکراری",""))</x:f>
      </x:c>
      <x:c r="W370" s="9"/>
    </x:row>
    <x:row r="371" ht="25" customHeight="1">
      <x:c r="A371" s="11"/>
      <x:c r="B371" s="11"/>
      <x:c r="C371" s="11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3" t="str">
        <x:f>IF(COUNT(D371:E371)=2,SUM(D371:E371),"")</x:f>
      </x:c>
      <x:c r="P371" s="13" t="str">
        <x:f>IF(COUNT(H371:I371)=2,SUM(H371:I371),"")</x:f>
      </x:c>
      <x:c r="Q371" s="13" t="str">
        <x:f>IF(AND(ISNUMBER(O371),COUNT(L371:N371)=3),O371+L371-M371-N371,"")</x:f>
      </x:c>
      <x:c r="R371" s="13" t="str">
        <x:f>IF(AND(A371&lt;&gt;"",B371&lt;&gt;"",ISNUMBER(P371),ISNUMBER(Q371)),P371-Q371,"")</x:f>
      </x:c>
      <x:c r="S371" s="13" t="str">
        <x:f>IF(COUNT(H371,J371)=2,J371-H371,"")</x:f>
      </x:c>
      <x:c r="T371" s="13" t="str">
        <x:f>IF(COUNT(I371,K371)=2,K371-I371,"")</x:f>
      </x:c>
      <x:c r="U371" s="10" t="str">
        <x:f>IF(NOT(OR(A371&lt;&gt;"",B371&lt;&gt;"",COUNT(D371:N371)&gt;0)),"",IF(OR(A371="",B371="",COUNT(D371:E371,H371:I371,L371:N371)&lt;&gt;7),"ناقص",IF(OR(MIN(D371:E371,H371:I371,L371:N371)&lt;0,Q371&lt;0),"ورودی نامعتبر",IF(R371&lt;0,"کسری",IF(R371&gt;0,"اضافه","بدون مغایرت")))))</x:f>
      </x:c>
      <x:c r="V371" s="10" t="str">
        <x:f>IF(OR(A371="",B371=""),"",IF(COUNTIFS($A$8:$A$507,A371,$B$8:$B$507,B371)&gt;1,"ثبت تکراری",""))</x:f>
      </x:c>
      <x:c r="W371" s="9"/>
    </x:row>
    <x:row r="372" ht="25" customHeight="1">
      <x:c r="A372" s="11"/>
      <x:c r="B372" s="11"/>
      <x:c r="C372" s="11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3" t="str">
        <x:f>IF(COUNT(D372:E372)=2,SUM(D372:E372),"")</x:f>
      </x:c>
      <x:c r="P372" s="13" t="str">
        <x:f>IF(COUNT(H372:I372)=2,SUM(H372:I372),"")</x:f>
      </x:c>
      <x:c r="Q372" s="13" t="str">
        <x:f>IF(AND(ISNUMBER(O372),COUNT(L372:N372)=3),O372+L372-M372-N372,"")</x:f>
      </x:c>
      <x:c r="R372" s="13" t="str">
        <x:f>IF(AND(A372&lt;&gt;"",B372&lt;&gt;"",ISNUMBER(P372),ISNUMBER(Q372)),P372-Q372,"")</x:f>
      </x:c>
      <x:c r="S372" s="13" t="str">
        <x:f>IF(COUNT(H372,J372)=2,J372-H372,"")</x:f>
      </x:c>
      <x:c r="T372" s="13" t="str">
        <x:f>IF(COUNT(I372,K372)=2,K372-I372,"")</x:f>
      </x:c>
      <x:c r="U372" s="10" t="str">
        <x:f>IF(NOT(OR(A372&lt;&gt;"",B372&lt;&gt;"",COUNT(D372:N372)&gt;0)),"",IF(OR(A372="",B372="",COUNT(D372:E372,H372:I372,L372:N372)&lt;&gt;7),"ناقص",IF(OR(MIN(D372:E372,H372:I372,L372:N372)&lt;0,Q372&lt;0),"ورودی نامعتبر",IF(R372&lt;0,"کسری",IF(R372&gt;0,"اضافه","بدون مغایرت")))))</x:f>
      </x:c>
      <x:c r="V372" s="10" t="str">
        <x:f>IF(OR(A372="",B372=""),"",IF(COUNTIFS($A$8:$A$507,A372,$B$8:$B$507,B372)&gt;1,"ثبت تکراری",""))</x:f>
      </x:c>
      <x:c r="W372" s="9"/>
    </x:row>
    <x:row r="373" ht="25" customHeight="1">
      <x:c r="A373" s="11"/>
      <x:c r="B373" s="11"/>
      <x:c r="C373" s="11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3" t="str">
        <x:f>IF(COUNT(D373:E373)=2,SUM(D373:E373),"")</x:f>
      </x:c>
      <x:c r="P373" s="13" t="str">
        <x:f>IF(COUNT(H373:I373)=2,SUM(H373:I373),"")</x:f>
      </x:c>
      <x:c r="Q373" s="13" t="str">
        <x:f>IF(AND(ISNUMBER(O373),COUNT(L373:N373)=3),O373+L373-M373-N373,"")</x:f>
      </x:c>
      <x:c r="R373" s="13" t="str">
        <x:f>IF(AND(A373&lt;&gt;"",B373&lt;&gt;"",ISNUMBER(P373),ISNUMBER(Q373)),P373-Q373,"")</x:f>
      </x:c>
      <x:c r="S373" s="13" t="str">
        <x:f>IF(COUNT(H373,J373)=2,J373-H373,"")</x:f>
      </x:c>
      <x:c r="T373" s="13" t="str">
        <x:f>IF(COUNT(I373,K373)=2,K373-I373,"")</x:f>
      </x:c>
      <x:c r="U373" s="10" t="str">
        <x:f>IF(NOT(OR(A373&lt;&gt;"",B373&lt;&gt;"",COUNT(D373:N373)&gt;0)),"",IF(OR(A373="",B373="",COUNT(D373:E373,H373:I373,L373:N373)&lt;&gt;7),"ناقص",IF(OR(MIN(D373:E373,H373:I373,L373:N373)&lt;0,Q373&lt;0),"ورودی نامعتبر",IF(R373&lt;0,"کسری",IF(R373&gt;0,"اضافه","بدون مغایرت")))))</x:f>
      </x:c>
      <x:c r="V373" s="10" t="str">
        <x:f>IF(OR(A373="",B373=""),"",IF(COUNTIFS($A$8:$A$507,A373,$B$8:$B$507,B373)&gt;1,"ثبت تکراری",""))</x:f>
      </x:c>
      <x:c r="W373" s="9"/>
    </x:row>
    <x:row r="374" ht="25" customHeight="1">
      <x:c r="A374" s="11"/>
      <x:c r="B374" s="11"/>
      <x:c r="C374" s="11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3" t="str">
        <x:f>IF(COUNT(D374:E374)=2,SUM(D374:E374),"")</x:f>
      </x:c>
      <x:c r="P374" s="13" t="str">
        <x:f>IF(COUNT(H374:I374)=2,SUM(H374:I374),"")</x:f>
      </x:c>
      <x:c r="Q374" s="13" t="str">
        <x:f>IF(AND(ISNUMBER(O374),COUNT(L374:N374)=3),O374+L374-M374-N374,"")</x:f>
      </x:c>
      <x:c r="R374" s="13" t="str">
        <x:f>IF(AND(A374&lt;&gt;"",B374&lt;&gt;"",ISNUMBER(P374),ISNUMBER(Q374)),P374-Q374,"")</x:f>
      </x:c>
      <x:c r="S374" s="13" t="str">
        <x:f>IF(COUNT(H374,J374)=2,J374-H374,"")</x:f>
      </x:c>
      <x:c r="T374" s="13" t="str">
        <x:f>IF(COUNT(I374,K374)=2,K374-I374,"")</x:f>
      </x:c>
      <x:c r="U374" s="10" t="str">
        <x:f>IF(NOT(OR(A374&lt;&gt;"",B374&lt;&gt;"",COUNT(D374:N374)&gt;0)),"",IF(OR(A374="",B374="",COUNT(D374:E374,H374:I374,L374:N374)&lt;&gt;7),"ناقص",IF(OR(MIN(D374:E374,H374:I374,L374:N374)&lt;0,Q374&lt;0),"ورودی نامعتبر",IF(R374&lt;0,"کسری",IF(R374&gt;0,"اضافه","بدون مغایرت")))))</x:f>
      </x:c>
      <x:c r="V374" s="10" t="str">
        <x:f>IF(OR(A374="",B374=""),"",IF(COUNTIFS($A$8:$A$507,A374,$B$8:$B$507,B374)&gt;1,"ثبت تکراری",""))</x:f>
      </x:c>
      <x:c r="W374" s="9"/>
    </x:row>
    <x:row r="375" ht="25" customHeight="1">
      <x:c r="A375" s="11"/>
      <x:c r="B375" s="11"/>
      <x:c r="C375" s="11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3" t="str">
        <x:f>IF(COUNT(D375:E375)=2,SUM(D375:E375),"")</x:f>
      </x:c>
      <x:c r="P375" s="13" t="str">
        <x:f>IF(COUNT(H375:I375)=2,SUM(H375:I375),"")</x:f>
      </x:c>
      <x:c r="Q375" s="13" t="str">
        <x:f>IF(AND(ISNUMBER(O375),COUNT(L375:N375)=3),O375+L375-M375-N375,"")</x:f>
      </x:c>
      <x:c r="R375" s="13" t="str">
        <x:f>IF(AND(A375&lt;&gt;"",B375&lt;&gt;"",ISNUMBER(P375),ISNUMBER(Q375)),P375-Q375,"")</x:f>
      </x:c>
      <x:c r="S375" s="13" t="str">
        <x:f>IF(COUNT(H375,J375)=2,J375-H375,"")</x:f>
      </x:c>
      <x:c r="T375" s="13" t="str">
        <x:f>IF(COUNT(I375,K375)=2,K375-I375,"")</x:f>
      </x:c>
      <x:c r="U375" s="10" t="str">
        <x:f>IF(NOT(OR(A375&lt;&gt;"",B375&lt;&gt;"",COUNT(D375:N375)&gt;0)),"",IF(OR(A375="",B375="",COUNT(D375:E375,H375:I375,L375:N375)&lt;&gt;7),"ناقص",IF(OR(MIN(D375:E375,H375:I375,L375:N375)&lt;0,Q375&lt;0),"ورودی نامعتبر",IF(R375&lt;0,"کسری",IF(R375&gt;0,"اضافه","بدون مغایرت")))))</x:f>
      </x:c>
      <x:c r="V375" s="10" t="str">
        <x:f>IF(OR(A375="",B375=""),"",IF(COUNTIFS($A$8:$A$507,A375,$B$8:$B$507,B375)&gt;1,"ثبت تکراری",""))</x:f>
      </x:c>
      <x:c r="W375" s="9"/>
    </x:row>
    <x:row r="376" ht="25" customHeight="1">
      <x:c r="A376" s="11"/>
      <x:c r="B376" s="11"/>
      <x:c r="C376" s="11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3" t="str">
        <x:f>IF(COUNT(D376:E376)=2,SUM(D376:E376),"")</x:f>
      </x:c>
      <x:c r="P376" s="13" t="str">
        <x:f>IF(COUNT(H376:I376)=2,SUM(H376:I376),"")</x:f>
      </x:c>
      <x:c r="Q376" s="13" t="str">
        <x:f>IF(AND(ISNUMBER(O376),COUNT(L376:N376)=3),O376+L376-M376-N376,"")</x:f>
      </x:c>
      <x:c r="R376" s="13" t="str">
        <x:f>IF(AND(A376&lt;&gt;"",B376&lt;&gt;"",ISNUMBER(P376),ISNUMBER(Q376)),P376-Q376,"")</x:f>
      </x:c>
      <x:c r="S376" s="13" t="str">
        <x:f>IF(COUNT(H376,J376)=2,J376-H376,"")</x:f>
      </x:c>
      <x:c r="T376" s="13" t="str">
        <x:f>IF(COUNT(I376,K376)=2,K376-I376,"")</x:f>
      </x:c>
      <x:c r="U376" s="10" t="str">
        <x:f>IF(NOT(OR(A376&lt;&gt;"",B376&lt;&gt;"",COUNT(D376:N376)&gt;0)),"",IF(OR(A376="",B376="",COUNT(D376:E376,H376:I376,L376:N376)&lt;&gt;7),"ناقص",IF(OR(MIN(D376:E376,H376:I376,L376:N376)&lt;0,Q376&lt;0),"ورودی نامعتبر",IF(R376&lt;0,"کسری",IF(R376&gt;0,"اضافه","بدون مغایرت")))))</x:f>
      </x:c>
      <x:c r="V376" s="10" t="str">
        <x:f>IF(OR(A376="",B376=""),"",IF(COUNTIFS($A$8:$A$507,A376,$B$8:$B$507,B376)&gt;1,"ثبت تکراری",""))</x:f>
      </x:c>
      <x:c r="W376" s="9"/>
    </x:row>
    <x:row r="377" ht="25" customHeight="1">
      <x:c r="A377" s="11"/>
      <x:c r="B377" s="11"/>
      <x:c r="C377" s="11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3" t="str">
        <x:f>IF(COUNT(D377:E377)=2,SUM(D377:E377),"")</x:f>
      </x:c>
      <x:c r="P377" s="13" t="str">
        <x:f>IF(COUNT(H377:I377)=2,SUM(H377:I377),"")</x:f>
      </x:c>
      <x:c r="Q377" s="13" t="str">
        <x:f>IF(AND(ISNUMBER(O377),COUNT(L377:N377)=3),O377+L377-M377-N377,"")</x:f>
      </x:c>
      <x:c r="R377" s="13" t="str">
        <x:f>IF(AND(A377&lt;&gt;"",B377&lt;&gt;"",ISNUMBER(P377),ISNUMBER(Q377)),P377-Q377,"")</x:f>
      </x:c>
      <x:c r="S377" s="13" t="str">
        <x:f>IF(COUNT(H377,J377)=2,J377-H377,"")</x:f>
      </x:c>
      <x:c r="T377" s="13" t="str">
        <x:f>IF(COUNT(I377,K377)=2,K377-I377,"")</x:f>
      </x:c>
      <x:c r="U377" s="10" t="str">
        <x:f>IF(NOT(OR(A377&lt;&gt;"",B377&lt;&gt;"",COUNT(D377:N377)&gt;0)),"",IF(OR(A377="",B377="",COUNT(D377:E377,H377:I377,L377:N377)&lt;&gt;7),"ناقص",IF(OR(MIN(D377:E377,H377:I377,L377:N377)&lt;0,Q377&lt;0),"ورودی نامعتبر",IF(R377&lt;0,"کسری",IF(R377&gt;0,"اضافه","بدون مغایرت")))))</x:f>
      </x:c>
      <x:c r="V377" s="10" t="str">
        <x:f>IF(OR(A377="",B377=""),"",IF(COUNTIFS($A$8:$A$507,A377,$B$8:$B$507,B377)&gt;1,"ثبت تکراری",""))</x:f>
      </x:c>
      <x:c r="W377" s="9"/>
    </x:row>
    <x:row r="378" ht="25" customHeight="1">
      <x:c r="A378" s="11"/>
      <x:c r="B378" s="11"/>
      <x:c r="C378" s="11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3" t="str">
        <x:f>IF(COUNT(D378:E378)=2,SUM(D378:E378),"")</x:f>
      </x:c>
      <x:c r="P378" s="13" t="str">
        <x:f>IF(COUNT(H378:I378)=2,SUM(H378:I378),"")</x:f>
      </x:c>
      <x:c r="Q378" s="13" t="str">
        <x:f>IF(AND(ISNUMBER(O378),COUNT(L378:N378)=3),O378+L378-M378-N378,"")</x:f>
      </x:c>
      <x:c r="R378" s="13" t="str">
        <x:f>IF(AND(A378&lt;&gt;"",B378&lt;&gt;"",ISNUMBER(P378),ISNUMBER(Q378)),P378-Q378,"")</x:f>
      </x:c>
      <x:c r="S378" s="13" t="str">
        <x:f>IF(COUNT(H378,J378)=2,J378-H378,"")</x:f>
      </x:c>
      <x:c r="T378" s="13" t="str">
        <x:f>IF(COUNT(I378,K378)=2,K378-I378,"")</x:f>
      </x:c>
      <x:c r="U378" s="10" t="str">
        <x:f>IF(NOT(OR(A378&lt;&gt;"",B378&lt;&gt;"",COUNT(D378:N378)&gt;0)),"",IF(OR(A378="",B378="",COUNT(D378:E378,H378:I378,L378:N378)&lt;&gt;7),"ناقص",IF(OR(MIN(D378:E378,H378:I378,L378:N378)&lt;0,Q378&lt;0),"ورودی نامعتبر",IF(R378&lt;0,"کسری",IF(R378&gt;0,"اضافه","بدون مغایرت")))))</x:f>
      </x:c>
      <x:c r="V378" s="10" t="str">
        <x:f>IF(OR(A378="",B378=""),"",IF(COUNTIFS($A$8:$A$507,A378,$B$8:$B$507,B378)&gt;1,"ثبت تکراری",""))</x:f>
      </x:c>
      <x:c r="W378" s="9"/>
    </x:row>
    <x:row r="379" ht="25" customHeight="1">
      <x:c r="A379" s="11"/>
      <x:c r="B379" s="11"/>
      <x:c r="C379" s="11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3" t="str">
        <x:f>IF(COUNT(D379:E379)=2,SUM(D379:E379),"")</x:f>
      </x:c>
      <x:c r="P379" s="13" t="str">
        <x:f>IF(COUNT(H379:I379)=2,SUM(H379:I379),"")</x:f>
      </x:c>
      <x:c r="Q379" s="13" t="str">
        <x:f>IF(AND(ISNUMBER(O379),COUNT(L379:N379)=3),O379+L379-M379-N379,"")</x:f>
      </x:c>
      <x:c r="R379" s="13" t="str">
        <x:f>IF(AND(A379&lt;&gt;"",B379&lt;&gt;"",ISNUMBER(P379),ISNUMBER(Q379)),P379-Q379,"")</x:f>
      </x:c>
      <x:c r="S379" s="13" t="str">
        <x:f>IF(COUNT(H379,J379)=2,J379-H379,"")</x:f>
      </x:c>
      <x:c r="T379" s="13" t="str">
        <x:f>IF(COUNT(I379,K379)=2,K379-I379,"")</x:f>
      </x:c>
      <x:c r="U379" s="10" t="str">
        <x:f>IF(NOT(OR(A379&lt;&gt;"",B379&lt;&gt;"",COUNT(D379:N379)&gt;0)),"",IF(OR(A379="",B379="",COUNT(D379:E379,H379:I379,L379:N379)&lt;&gt;7),"ناقص",IF(OR(MIN(D379:E379,H379:I379,L379:N379)&lt;0,Q379&lt;0),"ورودی نامعتبر",IF(R379&lt;0,"کسری",IF(R379&gt;0,"اضافه","بدون مغایرت")))))</x:f>
      </x:c>
      <x:c r="V379" s="10" t="str">
        <x:f>IF(OR(A379="",B379=""),"",IF(COUNTIFS($A$8:$A$507,A379,$B$8:$B$507,B379)&gt;1,"ثبت تکراری",""))</x:f>
      </x:c>
      <x:c r="W379" s="9"/>
    </x:row>
    <x:row r="380" ht="25" customHeight="1">
      <x:c r="A380" s="11"/>
      <x:c r="B380" s="11"/>
      <x:c r="C380" s="11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3" t="str">
        <x:f>IF(COUNT(D380:E380)=2,SUM(D380:E380),"")</x:f>
      </x:c>
      <x:c r="P380" s="13" t="str">
        <x:f>IF(COUNT(H380:I380)=2,SUM(H380:I380),"")</x:f>
      </x:c>
      <x:c r="Q380" s="13" t="str">
        <x:f>IF(AND(ISNUMBER(O380),COUNT(L380:N380)=3),O380+L380-M380-N380,"")</x:f>
      </x:c>
      <x:c r="R380" s="13" t="str">
        <x:f>IF(AND(A380&lt;&gt;"",B380&lt;&gt;"",ISNUMBER(P380),ISNUMBER(Q380)),P380-Q380,"")</x:f>
      </x:c>
      <x:c r="S380" s="13" t="str">
        <x:f>IF(COUNT(H380,J380)=2,J380-H380,"")</x:f>
      </x:c>
      <x:c r="T380" s="13" t="str">
        <x:f>IF(COUNT(I380,K380)=2,K380-I380,"")</x:f>
      </x:c>
      <x:c r="U380" s="10" t="str">
        <x:f>IF(NOT(OR(A380&lt;&gt;"",B380&lt;&gt;"",COUNT(D380:N380)&gt;0)),"",IF(OR(A380="",B380="",COUNT(D380:E380,H380:I380,L380:N380)&lt;&gt;7),"ناقص",IF(OR(MIN(D380:E380,H380:I380,L380:N380)&lt;0,Q380&lt;0),"ورودی نامعتبر",IF(R380&lt;0,"کسری",IF(R380&gt;0,"اضافه","بدون مغایرت")))))</x:f>
      </x:c>
      <x:c r="V380" s="10" t="str">
        <x:f>IF(OR(A380="",B380=""),"",IF(COUNTIFS($A$8:$A$507,A380,$B$8:$B$507,B380)&gt;1,"ثبت تکراری",""))</x:f>
      </x:c>
      <x:c r="W380" s="9"/>
    </x:row>
    <x:row r="381" ht="25" customHeight="1">
      <x:c r="A381" s="11"/>
      <x:c r="B381" s="11"/>
      <x:c r="C381" s="11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3" t="str">
        <x:f>IF(COUNT(D381:E381)=2,SUM(D381:E381),"")</x:f>
      </x:c>
      <x:c r="P381" s="13" t="str">
        <x:f>IF(COUNT(H381:I381)=2,SUM(H381:I381),"")</x:f>
      </x:c>
      <x:c r="Q381" s="13" t="str">
        <x:f>IF(AND(ISNUMBER(O381),COUNT(L381:N381)=3),O381+L381-M381-N381,"")</x:f>
      </x:c>
      <x:c r="R381" s="13" t="str">
        <x:f>IF(AND(A381&lt;&gt;"",B381&lt;&gt;"",ISNUMBER(P381),ISNUMBER(Q381)),P381-Q381,"")</x:f>
      </x:c>
      <x:c r="S381" s="13" t="str">
        <x:f>IF(COUNT(H381,J381)=2,J381-H381,"")</x:f>
      </x:c>
      <x:c r="T381" s="13" t="str">
        <x:f>IF(COUNT(I381,K381)=2,K381-I381,"")</x:f>
      </x:c>
      <x:c r="U381" s="10" t="str">
        <x:f>IF(NOT(OR(A381&lt;&gt;"",B381&lt;&gt;"",COUNT(D381:N381)&gt;0)),"",IF(OR(A381="",B381="",COUNT(D381:E381,H381:I381,L381:N381)&lt;&gt;7),"ناقص",IF(OR(MIN(D381:E381,H381:I381,L381:N381)&lt;0,Q381&lt;0),"ورودی نامعتبر",IF(R381&lt;0,"کسری",IF(R381&gt;0,"اضافه","بدون مغایرت")))))</x:f>
      </x:c>
      <x:c r="V381" s="10" t="str">
        <x:f>IF(OR(A381="",B381=""),"",IF(COUNTIFS($A$8:$A$507,A381,$B$8:$B$507,B381)&gt;1,"ثبت تکراری",""))</x:f>
      </x:c>
      <x:c r="W381" s="9"/>
    </x:row>
    <x:row r="382" ht="25" customHeight="1">
      <x:c r="A382" s="11"/>
      <x:c r="B382" s="11"/>
      <x:c r="C382" s="11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3" t="str">
        <x:f>IF(COUNT(D382:E382)=2,SUM(D382:E382),"")</x:f>
      </x:c>
      <x:c r="P382" s="13" t="str">
        <x:f>IF(COUNT(H382:I382)=2,SUM(H382:I382),"")</x:f>
      </x:c>
      <x:c r="Q382" s="13" t="str">
        <x:f>IF(AND(ISNUMBER(O382),COUNT(L382:N382)=3),O382+L382-M382-N382,"")</x:f>
      </x:c>
      <x:c r="R382" s="13" t="str">
        <x:f>IF(AND(A382&lt;&gt;"",B382&lt;&gt;"",ISNUMBER(P382),ISNUMBER(Q382)),P382-Q382,"")</x:f>
      </x:c>
      <x:c r="S382" s="13" t="str">
        <x:f>IF(COUNT(H382,J382)=2,J382-H382,"")</x:f>
      </x:c>
      <x:c r="T382" s="13" t="str">
        <x:f>IF(COUNT(I382,K382)=2,K382-I382,"")</x:f>
      </x:c>
      <x:c r="U382" s="10" t="str">
        <x:f>IF(NOT(OR(A382&lt;&gt;"",B382&lt;&gt;"",COUNT(D382:N382)&gt;0)),"",IF(OR(A382="",B382="",COUNT(D382:E382,H382:I382,L382:N382)&lt;&gt;7),"ناقص",IF(OR(MIN(D382:E382,H382:I382,L382:N382)&lt;0,Q382&lt;0),"ورودی نامعتبر",IF(R382&lt;0,"کسری",IF(R382&gt;0,"اضافه","بدون مغایرت")))))</x:f>
      </x:c>
      <x:c r="V382" s="10" t="str">
        <x:f>IF(OR(A382="",B382=""),"",IF(COUNTIFS($A$8:$A$507,A382,$B$8:$B$507,B382)&gt;1,"ثبت تکراری",""))</x:f>
      </x:c>
      <x:c r="W382" s="9"/>
    </x:row>
    <x:row r="383" ht="25" customHeight="1">
      <x:c r="A383" s="11"/>
      <x:c r="B383" s="11"/>
      <x:c r="C383" s="11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3" t="str">
        <x:f>IF(COUNT(D383:E383)=2,SUM(D383:E383),"")</x:f>
      </x:c>
      <x:c r="P383" s="13" t="str">
        <x:f>IF(COUNT(H383:I383)=2,SUM(H383:I383),"")</x:f>
      </x:c>
      <x:c r="Q383" s="13" t="str">
        <x:f>IF(AND(ISNUMBER(O383),COUNT(L383:N383)=3),O383+L383-M383-N383,"")</x:f>
      </x:c>
      <x:c r="R383" s="13" t="str">
        <x:f>IF(AND(A383&lt;&gt;"",B383&lt;&gt;"",ISNUMBER(P383),ISNUMBER(Q383)),P383-Q383,"")</x:f>
      </x:c>
      <x:c r="S383" s="13" t="str">
        <x:f>IF(COUNT(H383,J383)=2,J383-H383,"")</x:f>
      </x:c>
      <x:c r="T383" s="13" t="str">
        <x:f>IF(COUNT(I383,K383)=2,K383-I383,"")</x:f>
      </x:c>
      <x:c r="U383" s="10" t="str">
        <x:f>IF(NOT(OR(A383&lt;&gt;"",B383&lt;&gt;"",COUNT(D383:N383)&gt;0)),"",IF(OR(A383="",B383="",COUNT(D383:E383,H383:I383,L383:N383)&lt;&gt;7),"ناقص",IF(OR(MIN(D383:E383,H383:I383,L383:N383)&lt;0,Q383&lt;0),"ورودی نامعتبر",IF(R383&lt;0,"کسری",IF(R383&gt;0,"اضافه","بدون مغایرت")))))</x:f>
      </x:c>
      <x:c r="V383" s="10" t="str">
        <x:f>IF(OR(A383="",B383=""),"",IF(COUNTIFS($A$8:$A$507,A383,$B$8:$B$507,B383)&gt;1,"ثبت تکراری",""))</x:f>
      </x:c>
      <x:c r="W383" s="9"/>
    </x:row>
    <x:row r="384" ht="25" customHeight="1">
      <x:c r="A384" s="11"/>
      <x:c r="B384" s="11"/>
      <x:c r="C384" s="11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3" t="str">
        <x:f>IF(COUNT(D384:E384)=2,SUM(D384:E384),"")</x:f>
      </x:c>
      <x:c r="P384" s="13" t="str">
        <x:f>IF(COUNT(H384:I384)=2,SUM(H384:I384),"")</x:f>
      </x:c>
      <x:c r="Q384" s="13" t="str">
        <x:f>IF(AND(ISNUMBER(O384),COUNT(L384:N384)=3),O384+L384-M384-N384,"")</x:f>
      </x:c>
      <x:c r="R384" s="13" t="str">
        <x:f>IF(AND(A384&lt;&gt;"",B384&lt;&gt;"",ISNUMBER(P384),ISNUMBER(Q384)),P384-Q384,"")</x:f>
      </x:c>
      <x:c r="S384" s="13" t="str">
        <x:f>IF(COUNT(H384,J384)=2,J384-H384,"")</x:f>
      </x:c>
      <x:c r="T384" s="13" t="str">
        <x:f>IF(COUNT(I384,K384)=2,K384-I384,"")</x:f>
      </x:c>
      <x:c r="U384" s="10" t="str">
        <x:f>IF(NOT(OR(A384&lt;&gt;"",B384&lt;&gt;"",COUNT(D384:N384)&gt;0)),"",IF(OR(A384="",B384="",COUNT(D384:E384,H384:I384,L384:N384)&lt;&gt;7),"ناقص",IF(OR(MIN(D384:E384,H384:I384,L384:N384)&lt;0,Q384&lt;0),"ورودی نامعتبر",IF(R384&lt;0,"کسری",IF(R384&gt;0,"اضافه","بدون مغایرت")))))</x:f>
      </x:c>
      <x:c r="V384" s="10" t="str">
        <x:f>IF(OR(A384="",B384=""),"",IF(COUNTIFS($A$8:$A$507,A384,$B$8:$B$507,B384)&gt;1,"ثبت تکراری",""))</x:f>
      </x:c>
      <x:c r="W384" s="9"/>
    </x:row>
    <x:row r="385" ht="25" customHeight="1">
      <x:c r="A385" s="11"/>
      <x:c r="B385" s="11"/>
      <x:c r="C385" s="11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3" t="str">
        <x:f>IF(COUNT(D385:E385)=2,SUM(D385:E385),"")</x:f>
      </x:c>
      <x:c r="P385" s="13" t="str">
        <x:f>IF(COUNT(H385:I385)=2,SUM(H385:I385),"")</x:f>
      </x:c>
      <x:c r="Q385" s="13" t="str">
        <x:f>IF(AND(ISNUMBER(O385),COUNT(L385:N385)=3),O385+L385-M385-N385,"")</x:f>
      </x:c>
      <x:c r="R385" s="13" t="str">
        <x:f>IF(AND(A385&lt;&gt;"",B385&lt;&gt;"",ISNUMBER(P385),ISNUMBER(Q385)),P385-Q385,"")</x:f>
      </x:c>
      <x:c r="S385" s="13" t="str">
        <x:f>IF(COUNT(H385,J385)=2,J385-H385,"")</x:f>
      </x:c>
      <x:c r="T385" s="13" t="str">
        <x:f>IF(COUNT(I385,K385)=2,K385-I385,"")</x:f>
      </x:c>
      <x:c r="U385" s="10" t="str">
        <x:f>IF(NOT(OR(A385&lt;&gt;"",B385&lt;&gt;"",COUNT(D385:N385)&gt;0)),"",IF(OR(A385="",B385="",COUNT(D385:E385,H385:I385,L385:N385)&lt;&gt;7),"ناقص",IF(OR(MIN(D385:E385,H385:I385,L385:N385)&lt;0,Q385&lt;0),"ورودی نامعتبر",IF(R385&lt;0,"کسری",IF(R385&gt;0,"اضافه","بدون مغایرت")))))</x:f>
      </x:c>
      <x:c r="V385" s="10" t="str">
        <x:f>IF(OR(A385="",B385=""),"",IF(COUNTIFS($A$8:$A$507,A385,$B$8:$B$507,B385)&gt;1,"ثبت تکراری",""))</x:f>
      </x:c>
      <x:c r="W385" s="9"/>
    </x:row>
    <x:row r="386" ht="25" customHeight="1">
      <x:c r="A386" s="11"/>
      <x:c r="B386" s="11"/>
      <x:c r="C386" s="11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3" t="str">
        <x:f>IF(COUNT(D386:E386)=2,SUM(D386:E386),"")</x:f>
      </x:c>
      <x:c r="P386" s="13" t="str">
        <x:f>IF(COUNT(H386:I386)=2,SUM(H386:I386),"")</x:f>
      </x:c>
      <x:c r="Q386" s="13" t="str">
        <x:f>IF(AND(ISNUMBER(O386),COUNT(L386:N386)=3),O386+L386-M386-N386,"")</x:f>
      </x:c>
      <x:c r="R386" s="13" t="str">
        <x:f>IF(AND(A386&lt;&gt;"",B386&lt;&gt;"",ISNUMBER(P386),ISNUMBER(Q386)),P386-Q386,"")</x:f>
      </x:c>
      <x:c r="S386" s="13" t="str">
        <x:f>IF(COUNT(H386,J386)=2,J386-H386,"")</x:f>
      </x:c>
      <x:c r="T386" s="13" t="str">
        <x:f>IF(COUNT(I386,K386)=2,K386-I386,"")</x:f>
      </x:c>
      <x:c r="U386" s="10" t="str">
        <x:f>IF(NOT(OR(A386&lt;&gt;"",B386&lt;&gt;"",COUNT(D386:N386)&gt;0)),"",IF(OR(A386="",B386="",COUNT(D386:E386,H386:I386,L386:N386)&lt;&gt;7),"ناقص",IF(OR(MIN(D386:E386,H386:I386,L386:N386)&lt;0,Q386&lt;0),"ورودی نامعتبر",IF(R386&lt;0,"کسری",IF(R386&gt;0,"اضافه","بدون مغایرت")))))</x:f>
      </x:c>
      <x:c r="V386" s="10" t="str">
        <x:f>IF(OR(A386="",B386=""),"",IF(COUNTIFS($A$8:$A$507,A386,$B$8:$B$507,B386)&gt;1,"ثبت تکراری",""))</x:f>
      </x:c>
      <x:c r="W386" s="9"/>
    </x:row>
    <x:row r="387" ht="25" customHeight="1">
      <x:c r="A387" s="11"/>
      <x:c r="B387" s="11"/>
      <x:c r="C387" s="11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3" t="str">
        <x:f>IF(COUNT(D387:E387)=2,SUM(D387:E387),"")</x:f>
      </x:c>
      <x:c r="P387" s="13" t="str">
        <x:f>IF(COUNT(H387:I387)=2,SUM(H387:I387),"")</x:f>
      </x:c>
      <x:c r="Q387" s="13" t="str">
        <x:f>IF(AND(ISNUMBER(O387),COUNT(L387:N387)=3),O387+L387-M387-N387,"")</x:f>
      </x:c>
      <x:c r="R387" s="13" t="str">
        <x:f>IF(AND(A387&lt;&gt;"",B387&lt;&gt;"",ISNUMBER(P387),ISNUMBER(Q387)),P387-Q387,"")</x:f>
      </x:c>
      <x:c r="S387" s="13" t="str">
        <x:f>IF(COUNT(H387,J387)=2,J387-H387,"")</x:f>
      </x:c>
      <x:c r="T387" s="13" t="str">
        <x:f>IF(COUNT(I387,K387)=2,K387-I387,"")</x:f>
      </x:c>
      <x:c r="U387" s="10" t="str">
        <x:f>IF(NOT(OR(A387&lt;&gt;"",B387&lt;&gt;"",COUNT(D387:N387)&gt;0)),"",IF(OR(A387="",B387="",COUNT(D387:E387,H387:I387,L387:N387)&lt;&gt;7),"ناقص",IF(OR(MIN(D387:E387,H387:I387,L387:N387)&lt;0,Q387&lt;0),"ورودی نامعتبر",IF(R387&lt;0,"کسری",IF(R387&gt;0,"اضافه","بدون مغایرت")))))</x:f>
      </x:c>
      <x:c r="V387" s="10" t="str">
        <x:f>IF(OR(A387="",B387=""),"",IF(COUNTIFS($A$8:$A$507,A387,$B$8:$B$507,B387)&gt;1,"ثبت تکراری",""))</x:f>
      </x:c>
      <x:c r="W387" s="9"/>
    </x:row>
    <x:row r="388" ht="25" customHeight="1">
      <x:c r="A388" s="11"/>
      <x:c r="B388" s="11"/>
      <x:c r="C388" s="11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3" t="str">
        <x:f>IF(COUNT(D388:E388)=2,SUM(D388:E388),"")</x:f>
      </x:c>
      <x:c r="P388" s="13" t="str">
        <x:f>IF(COUNT(H388:I388)=2,SUM(H388:I388),"")</x:f>
      </x:c>
      <x:c r="Q388" s="13" t="str">
        <x:f>IF(AND(ISNUMBER(O388),COUNT(L388:N388)=3),O388+L388-M388-N388,"")</x:f>
      </x:c>
      <x:c r="R388" s="13" t="str">
        <x:f>IF(AND(A388&lt;&gt;"",B388&lt;&gt;"",ISNUMBER(P388),ISNUMBER(Q388)),P388-Q388,"")</x:f>
      </x:c>
      <x:c r="S388" s="13" t="str">
        <x:f>IF(COUNT(H388,J388)=2,J388-H388,"")</x:f>
      </x:c>
      <x:c r="T388" s="13" t="str">
        <x:f>IF(COUNT(I388,K388)=2,K388-I388,"")</x:f>
      </x:c>
      <x:c r="U388" s="10" t="str">
        <x:f>IF(NOT(OR(A388&lt;&gt;"",B388&lt;&gt;"",COUNT(D388:N388)&gt;0)),"",IF(OR(A388="",B388="",COUNT(D388:E388,H388:I388,L388:N388)&lt;&gt;7),"ناقص",IF(OR(MIN(D388:E388,H388:I388,L388:N388)&lt;0,Q388&lt;0),"ورودی نامعتبر",IF(R388&lt;0,"کسری",IF(R388&gt;0,"اضافه","بدون مغایرت")))))</x:f>
      </x:c>
      <x:c r="V388" s="10" t="str">
        <x:f>IF(OR(A388="",B388=""),"",IF(COUNTIFS($A$8:$A$507,A388,$B$8:$B$507,B388)&gt;1,"ثبت تکراری",""))</x:f>
      </x:c>
      <x:c r="W388" s="9"/>
    </x:row>
    <x:row r="389" ht="25" customHeight="1">
      <x:c r="A389" s="11"/>
      <x:c r="B389" s="11"/>
      <x:c r="C389" s="11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3" t="str">
        <x:f>IF(COUNT(D389:E389)=2,SUM(D389:E389),"")</x:f>
      </x:c>
      <x:c r="P389" s="13" t="str">
        <x:f>IF(COUNT(H389:I389)=2,SUM(H389:I389),"")</x:f>
      </x:c>
      <x:c r="Q389" s="13" t="str">
        <x:f>IF(AND(ISNUMBER(O389),COUNT(L389:N389)=3),O389+L389-M389-N389,"")</x:f>
      </x:c>
      <x:c r="R389" s="13" t="str">
        <x:f>IF(AND(A389&lt;&gt;"",B389&lt;&gt;"",ISNUMBER(P389),ISNUMBER(Q389)),P389-Q389,"")</x:f>
      </x:c>
      <x:c r="S389" s="13" t="str">
        <x:f>IF(COUNT(H389,J389)=2,J389-H389,"")</x:f>
      </x:c>
      <x:c r="T389" s="13" t="str">
        <x:f>IF(COUNT(I389,K389)=2,K389-I389,"")</x:f>
      </x:c>
      <x:c r="U389" s="10" t="str">
        <x:f>IF(NOT(OR(A389&lt;&gt;"",B389&lt;&gt;"",COUNT(D389:N389)&gt;0)),"",IF(OR(A389="",B389="",COUNT(D389:E389,H389:I389,L389:N389)&lt;&gt;7),"ناقص",IF(OR(MIN(D389:E389,H389:I389,L389:N389)&lt;0,Q389&lt;0),"ورودی نامعتبر",IF(R389&lt;0,"کسری",IF(R389&gt;0,"اضافه","بدون مغایرت")))))</x:f>
      </x:c>
      <x:c r="V389" s="10" t="str">
        <x:f>IF(OR(A389="",B389=""),"",IF(COUNTIFS($A$8:$A$507,A389,$B$8:$B$507,B389)&gt;1,"ثبت تکراری",""))</x:f>
      </x:c>
      <x:c r="W389" s="9"/>
    </x:row>
    <x:row r="390" ht="25" customHeight="1">
      <x:c r="A390" s="11"/>
      <x:c r="B390" s="11"/>
      <x:c r="C390" s="11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3" t="str">
        <x:f>IF(COUNT(D390:E390)=2,SUM(D390:E390),"")</x:f>
      </x:c>
      <x:c r="P390" s="13" t="str">
        <x:f>IF(COUNT(H390:I390)=2,SUM(H390:I390),"")</x:f>
      </x:c>
      <x:c r="Q390" s="13" t="str">
        <x:f>IF(AND(ISNUMBER(O390),COUNT(L390:N390)=3),O390+L390-M390-N390,"")</x:f>
      </x:c>
      <x:c r="R390" s="13" t="str">
        <x:f>IF(AND(A390&lt;&gt;"",B390&lt;&gt;"",ISNUMBER(P390),ISNUMBER(Q390)),P390-Q390,"")</x:f>
      </x:c>
      <x:c r="S390" s="13" t="str">
        <x:f>IF(COUNT(H390,J390)=2,J390-H390,"")</x:f>
      </x:c>
      <x:c r="T390" s="13" t="str">
        <x:f>IF(COUNT(I390,K390)=2,K390-I390,"")</x:f>
      </x:c>
      <x:c r="U390" s="10" t="str">
        <x:f>IF(NOT(OR(A390&lt;&gt;"",B390&lt;&gt;"",COUNT(D390:N390)&gt;0)),"",IF(OR(A390="",B390="",COUNT(D390:E390,H390:I390,L390:N390)&lt;&gt;7),"ناقص",IF(OR(MIN(D390:E390,H390:I390,L390:N390)&lt;0,Q390&lt;0),"ورودی نامعتبر",IF(R390&lt;0,"کسری",IF(R390&gt;0,"اضافه","بدون مغایرت")))))</x:f>
      </x:c>
      <x:c r="V390" s="10" t="str">
        <x:f>IF(OR(A390="",B390=""),"",IF(COUNTIFS($A$8:$A$507,A390,$B$8:$B$507,B390)&gt;1,"ثبت تکراری",""))</x:f>
      </x:c>
      <x:c r="W390" s="9"/>
    </x:row>
    <x:row r="391" ht="25" customHeight="1">
      <x:c r="A391" s="11"/>
      <x:c r="B391" s="11"/>
      <x:c r="C391" s="11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3" t="str">
        <x:f>IF(COUNT(D391:E391)=2,SUM(D391:E391),"")</x:f>
      </x:c>
      <x:c r="P391" s="13" t="str">
        <x:f>IF(COUNT(H391:I391)=2,SUM(H391:I391),"")</x:f>
      </x:c>
      <x:c r="Q391" s="13" t="str">
        <x:f>IF(AND(ISNUMBER(O391),COUNT(L391:N391)=3),O391+L391-M391-N391,"")</x:f>
      </x:c>
      <x:c r="R391" s="13" t="str">
        <x:f>IF(AND(A391&lt;&gt;"",B391&lt;&gt;"",ISNUMBER(P391),ISNUMBER(Q391)),P391-Q391,"")</x:f>
      </x:c>
      <x:c r="S391" s="13" t="str">
        <x:f>IF(COUNT(H391,J391)=2,J391-H391,"")</x:f>
      </x:c>
      <x:c r="T391" s="13" t="str">
        <x:f>IF(COUNT(I391,K391)=2,K391-I391,"")</x:f>
      </x:c>
      <x:c r="U391" s="10" t="str">
        <x:f>IF(NOT(OR(A391&lt;&gt;"",B391&lt;&gt;"",COUNT(D391:N391)&gt;0)),"",IF(OR(A391="",B391="",COUNT(D391:E391,H391:I391,L391:N391)&lt;&gt;7),"ناقص",IF(OR(MIN(D391:E391,H391:I391,L391:N391)&lt;0,Q391&lt;0),"ورودی نامعتبر",IF(R391&lt;0,"کسری",IF(R391&gt;0,"اضافه","بدون مغایرت")))))</x:f>
      </x:c>
      <x:c r="V391" s="10" t="str">
        <x:f>IF(OR(A391="",B391=""),"",IF(COUNTIFS($A$8:$A$507,A391,$B$8:$B$507,B391)&gt;1,"ثبت تکراری",""))</x:f>
      </x:c>
      <x:c r="W391" s="9"/>
    </x:row>
    <x:row r="392" ht="25" customHeight="1">
      <x:c r="A392" s="11"/>
      <x:c r="B392" s="11"/>
      <x:c r="C392" s="11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3" t="str">
        <x:f>IF(COUNT(D392:E392)=2,SUM(D392:E392),"")</x:f>
      </x:c>
      <x:c r="P392" s="13" t="str">
        <x:f>IF(COUNT(H392:I392)=2,SUM(H392:I392),"")</x:f>
      </x:c>
      <x:c r="Q392" s="13" t="str">
        <x:f>IF(AND(ISNUMBER(O392),COUNT(L392:N392)=3),O392+L392-M392-N392,"")</x:f>
      </x:c>
      <x:c r="R392" s="13" t="str">
        <x:f>IF(AND(A392&lt;&gt;"",B392&lt;&gt;"",ISNUMBER(P392),ISNUMBER(Q392)),P392-Q392,"")</x:f>
      </x:c>
      <x:c r="S392" s="13" t="str">
        <x:f>IF(COUNT(H392,J392)=2,J392-H392,"")</x:f>
      </x:c>
      <x:c r="T392" s="13" t="str">
        <x:f>IF(COUNT(I392,K392)=2,K392-I392,"")</x:f>
      </x:c>
      <x:c r="U392" s="10" t="str">
        <x:f>IF(NOT(OR(A392&lt;&gt;"",B392&lt;&gt;"",COUNT(D392:N392)&gt;0)),"",IF(OR(A392="",B392="",COUNT(D392:E392,H392:I392,L392:N392)&lt;&gt;7),"ناقص",IF(OR(MIN(D392:E392,H392:I392,L392:N392)&lt;0,Q392&lt;0),"ورودی نامعتبر",IF(R392&lt;0,"کسری",IF(R392&gt;0,"اضافه","بدون مغایرت")))))</x:f>
      </x:c>
      <x:c r="V392" s="10" t="str">
        <x:f>IF(OR(A392="",B392=""),"",IF(COUNTIFS($A$8:$A$507,A392,$B$8:$B$507,B392)&gt;1,"ثبت تکراری",""))</x:f>
      </x:c>
      <x:c r="W392" s="9"/>
    </x:row>
    <x:row r="393" ht="25" customHeight="1">
      <x:c r="A393" s="11"/>
      <x:c r="B393" s="11"/>
      <x:c r="C393" s="11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3" t="str">
        <x:f>IF(COUNT(D393:E393)=2,SUM(D393:E393),"")</x:f>
      </x:c>
      <x:c r="P393" s="13" t="str">
        <x:f>IF(COUNT(H393:I393)=2,SUM(H393:I393),"")</x:f>
      </x:c>
      <x:c r="Q393" s="13" t="str">
        <x:f>IF(AND(ISNUMBER(O393),COUNT(L393:N393)=3),O393+L393-M393-N393,"")</x:f>
      </x:c>
      <x:c r="R393" s="13" t="str">
        <x:f>IF(AND(A393&lt;&gt;"",B393&lt;&gt;"",ISNUMBER(P393),ISNUMBER(Q393)),P393-Q393,"")</x:f>
      </x:c>
      <x:c r="S393" s="13" t="str">
        <x:f>IF(COUNT(H393,J393)=2,J393-H393,"")</x:f>
      </x:c>
      <x:c r="T393" s="13" t="str">
        <x:f>IF(COUNT(I393,K393)=2,K393-I393,"")</x:f>
      </x:c>
      <x:c r="U393" s="10" t="str">
        <x:f>IF(NOT(OR(A393&lt;&gt;"",B393&lt;&gt;"",COUNT(D393:N393)&gt;0)),"",IF(OR(A393="",B393="",COUNT(D393:E393,H393:I393,L393:N393)&lt;&gt;7),"ناقص",IF(OR(MIN(D393:E393,H393:I393,L393:N393)&lt;0,Q393&lt;0),"ورودی نامعتبر",IF(R393&lt;0,"کسری",IF(R393&gt;0,"اضافه","بدون مغایرت")))))</x:f>
      </x:c>
      <x:c r="V393" s="10" t="str">
        <x:f>IF(OR(A393="",B393=""),"",IF(COUNTIFS($A$8:$A$507,A393,$B$8:$B$507,B393)&gt;1,"ثبت تکراری",""))</x:f>
      </x:c>
      <x:c r="W393" s="9"/>
    </x:row>
    <x:row r="394" ht="25" customHeight="1">
      <x:c r="A394" s="11"/>
      <x:c r="B394" s="11"/>
      <x:c r="C394" s="11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3" t="str">
        <x:f>IF(COUNT(D394:E394)=2,SUM(D394:E394),"")</x:f>
      </x:c>
      <x:c r="P394" s="13" t="str">
        <x:f>IF(COUNT(H394:I394)=2,SUM(H394:I394),"")</x:f>
      </x:c>
      <x:c r="Q394" s="13" t="str">
        <x:f>IF(AND(ISNUMBER(O394),COUNT(L394:N394)=3),O394+L394-M394-N394,"")</x:f>
      </x:c>
      <x:c r="R394" s="13" t="str">
        <x:f>IF(AND(A394&lt;&gt;"",B394&lt;&gt;"",ISNUMBER(P394),ISNUMBER(Q394)),P394-Q394,"")</x:f>
      </x:c>
      <x:c r="S394" s="13" t="str">
        <x:f>IF(COUNT(H394,J394)=2,J394-H394,"")</x:f>
      </x:c>
      <x:c r="T394" s="13" t="str">
        <x:f>IF(COUNT(I394,K394)=2,K394-I394,"")</x:f>
      </x:c>
      <x:c r="U394" s="10" t="str">
        <x:f>IF(NOT(OR(A394&lt;&gt;"",B394&lt;&gt;"",COUNT(D394:N394)&gt;0)),"",IF(OR(A394="",B394="",COUNT(D394:E394,H394:I394,L394:N394)&lt;&gt;7),"ناقص",IF(OR(MIN(D394:E394,H394:I394,L394:N394)&lt;0,Q394&lt;0),"ورودی نامعتبر",IF(R394&lt;0,"کسری",IF(R394&gt;0,"اضافه","بدون مغایرت")))))</x:f>
      </x:c>
      <x:c r="V394" s="10" t="str">
        <x:f>IF(OR(A394="",B394=""),"",IF(COUNTIFS($A$8:$A$507,A394,$B$8:$B$507,B394)&gt;1,"ثبت تکراری",""))</x:f>
      </x:c>
      <x:c r="W394" s="9"/>
    </x:row>
    <x:row r="395" ht="25" customHeight="1">
      <x:c r="A395" s="11"/>
      <x:c r="B395" s="11"/>
      <x:c r="C395" s="11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3" t="str">
        <x:f>IF(COUNT(D395:E395)=2,SUM(D395:E395),"")</x:f>
      </x:c>
      <x:c r="P395" s="13" t="str">
        <x:f>IF(COUNT(H395:I395)=2,SUM(H395:I395),"")</x:f>
      </x:c>
      <x:c r="Q395" s="13" t="str">
        <x:f>IF(AND(ISNUMBER(O395),COUNT(L395:N395)=3),O395+L395-M395-N395,"")</x:f>
      </x:c>
      <x:c r="R395" s="13" t="str">
        <x:f>IF(AND(A395&lt;&gt;"",B395&lt;&gt;"",ISNUMBER(P395),ISNUMBER(Q395)),P395-Q395,"")</x:f>
      </x:c>
      <x:c r="S395" s="13" t="str">
        <x:f>IF(COUNT(H395,J395)=2,J395-H395,"")</x:f>
      </x:c>
      <x:c r="T395" s="13" t="str">
        <x:f>IF(COUNT(I395,K395)=2,K395-I395,"")</x:f>
      </x:c>
      <x:c r="U395" s="10" t="str">
        <x:f>IF(NOT(OR(A395&lt;&gt;"",B395&lt;&gt;"",COUNT(D395:N395)&gt;0)),"",IF(OR(A395="",B395="",COUNT(D395:E395,H395:I395,L395:N395)&lt;&gt;7),"ناقص",IF(OR(MIN(D395:E395,H395:I395,L395:N395)&lt;0,Q395&lt;0),"ورودی نامعتبر",IF(R395&lt;0,"کسری",IF(R395&gt;0,"اضافه","بدون مغایرت")))))</x:f>
      </x:c>
      <x:c r="V395" s="10" t="str">
        <x:f>IF(OR(A395="",B395=""),"",IF(COUNTIFS($A$8:$A$507,A395,$B$8:$B$507,B395)&gt;1,"ثبت تکراری",""))</x:f>
      </x:c>
      <x:c r="W395" s="9"/>
    </x:row>
    <x:row r="396" ht="25" customHeight="1">
      <x:c r="A396" s="11"/>
      <x:c r="B396" s="11"/>
      <x:c r="C396" s="11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3" t="str">
        <x:f>IF(COUNT(D396:E396)=2,SUM(D396:E396),"")</x:f>
      </x:c>
      <x:c r="P396" s="13" t="str">
        <x:f>IF(COUNT(H396:I396)=2,SUM(H396:I396),"")</x:f>
      </x:c>
      <x:c r="Q396" s="13" t="str">
        <x:f>IF(AND(ISNUMBER(O396),COUNT(L396:N396)=3),O396+L396-M396-N396,"")</x:f>
      </x:c>
      <x:c r="R396" s="13" t="str">
        <x:f>IF(AND(A396&lt;&gt;"",B396&lt;&gt;"",ISNUMBER(P396),ISNUMBER(Q396)),P396-Q396,"")</x:f>
      </x:c>
      <x:c r="S396" s="13" t="str">
        <x:f>IF(COUNT(H396,J396)=2,J396-H396,"")</x:f>
      </x:c>
      <x:c r="T396" s="13" t="str">
        <x:f>IF(COUNT(I396,K396)=2,K396-I396,"")</x:f>
      </x:c>
      <x:c r="U396" s="10" t="str">
        <x:f>IF(NOT(OR(A396&lt;&gt;"",B396&lt;&gt;"",COUNT(D396:N396)&gt;0)),"",IF(OR(A396="",B396="",COUNT(D396:E396,H396:I396,L396:N396)&lt;&gt;7),"ناقص",IF(OR(MIN(D396:E396,H396:I396,L396:N396)&lt;0,Q396&lt;0),"ورودی نامعتبر",IF(R396&lt;0,"کسری",IF(R396&gt;0,"اضافه","بدون مغایرت")))))</x:f>
      </x:c>
      <x:c r="V396" s="10" t="str">
        <x:f>IF(OR(A396="",B396=""),"",IF(COUNTIFS($A$8:$A$507,A396,$B$8:$B$507,B396)&gt;1,"ثبت تکراری",""))</x:f>
      </x:c>
      <x:c r="W396" s="9"/>
    </x:row>
    <x:row r="397" ht="25" customHeight="1">
      <x:c r="A397" s="11"/>
      <x:c r="B397" s="11"/>
      <x:c r="C397" s="11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3" t="str">
        <x:f>IF(COUNT(D397:E397)=2,SUM(D397:E397),"")</x:f>
      </x:c>
      <x:c r="P397" s="13" t="str">
        <x:f>IF(COUNT(H397:I397)=2,SUM(H397:I397),"")</x:f>
      </x:c>
      <x:c r="Q397" s="13" t="str">
        <x:f>IF(AND(ISNUMBER(O397),COUNT(L397:N397)=3),O397+L397-M397-N397,"")</x:f>
      </x:c>
      <x:c r="R397" s="13" t="str">
        <x:f>IF(AND(A397&lt;&gt;"",B397&lt;&gt;"",ISNUMBER(P397),ISNUMBER(Q397)),P397-Q397,"")</x:f>
      </x:c>
      <x:c r="S397" s="13" t="str">
        <x:f>IF(COUNT(H397,J397)=2,J397-H397,"")</x:f>
      </x:c>
      <x:c r="T397" s="13" t="str">
        <x:f>IF(COUNT(I397,K397)=2,K397-I397,"")</x:f>
      </x:c>
      <x:c r="U397" s="10" t="str">
        <x:f>IF(NOT(OR(A397&lt;&gt;"",B397&lt;&gt;"",COUNT(D397:N397)&gt;0)),"",IF(OR(A397="",B397="",COUNT(D397:E397,H397:I397,L397:N397)&lt;&gt;7),"ناقص",IF(OR(MIN(D397:E397,H397:I397,L397:N397)&lt;0,Q397&lt;0),"ورودی نامعتبر",IF(R397&lt;0,"کسری",IF(R397&gt;0,"اضافه","بدون مغایرت")))))</x:f>
      </x:c>
      <x:c r="V397" s="10" t="str">
        <x:f>IF(OR(A397="",B397=""),"",IF(COUNTIFS($A$8:$A$507,A397,$B$8:$B$507,B397)&gt;1,"ثبت تکراری",""))</x:f>
      </x:c>
      <x:c r="W397" s="9"/>
    </x:row>
    <x:row r="398" ht="25" customHeight="1">
      <x:c r="A398" s="11"/>
      <x:c r="B398" s="11"/>
      <x:c r="C398" s="11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3" t="str">
        <x:f>IF(COUNT(D398:E398)=2,SUM(D398:E398),"")</x:f>
      </x:c>
      <x:c r="P398" s="13" t="str">
        <x:f>IF(COUNT(H398:I398)=2,SUM(H398:I398),"")</x:f>
      </x:c>
      <x:c r="Q398" s="13" t="str">
        <x:f>IF(AND(ISNUMBER(O398),COUNT(L398:N398)=3),O398+L398-M398-N398,"")</x:f>
      </x:c>
      <x:c r="R398" s="13" t="str">
        <x:f>IF(AND(A398&lt;&gt;"",B398&lt;&gt;"",ISNUMBER(P398),ISNUMBER(Q398)),P398-Q398,"")</x:f>
      </x:c>
      <x:c r="S398" s="13" t="str">
        <x:f>IF(COUNT(H398,J398)=2,J398-H398,"")</x:f>
      </x:c>
      <x:c r="T398" s="13" t="str">
        <x:f>IF(COUNT(I398,K398)=2,K398-I398,"")</x:f>
      </x:c>
      <x:c r="U398" s="10" t="str">
        <x:f>IF(NOT(OR(A398&lt;&gt;"",B398&lt;&gt;"",COUNT(D398:N398)&gt;0)),"",IF(OR(A398="",B398="",COUNT(D398:E398,H398:I398,L398:N398)&lt;&gt;7),"ناقص",IF(OR(MIN(D398:E398,H398:I398,L398:N398)&lt;0,Q398&lt;0),"ورودی نامعتبر",IF(R398&lt;0,"کسری",IF(R398&gt;0,"اضافه","بدون مغایرت")))))</x:f>
      </x:c>
      <x:c r="V398" s="10" t="str">
        <x:f>IF(OR(A398="",B398=""),"",IF(COUNTIFS($A$8:$A$507,A398,$B$8:$B$507,B398)&gt;1,"ثبت تکراری",""))</x:f>
      </x:c>
      <x:c r="W398" s="9"/>
    </x:row>
    <x:row r="399" ht="25" customHeight="1">
      <x:c r="A399" s="11"/>
      <x:c r="B399" s="11"/>
      <x:c r="C399" s="11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3" t="str">
        <x:f>IF(COUNT(D399:E399)=2,SUM(D399:E399),"")</x:f>
      </x:c>
      <x:c r="P399" s="13" t="str">
        <x:f>IF(COUNT(H399:I399)=2,SUM(H399:I399),"")</x:f>
      </x:c>
      <x:c r="Q399" s="13" t="str">
        <x:f>IF(AND(ISNUMBER(O399),COUNT(L399:N399)=3),O399+L399-M399-N399,"")</x:f>
      </x:c>
      <x:c r="R399" s="13" t="str">
        <x:f>IF(AND(A399&lt;&gt;"",B399&lt;&gt;"",ISNUMBER(P399),ISNUMBER(Q399)),P399-Q399,"")</x:f>
      </x:c>
      <x:c r="S399" s="13" t="str">
        <x:f>IF(COUNT(H399,J399)=2,J399-H399,"")</x:f>
      </x:c>
      <x:c r="T399" s="13" t="str">
        <x:f>IF(COUNT(I399,K399)=2,K399-I399,"")</x:f>
      </x:c>
      <x:c r="U399" s="10" t="str">
        <x:f>IF(NOT(OR(A399&lt;&gt;"",B399&lt;&gt;"",COUNT(D399:N399)&gt;0)),"",IF(OR(A399="",B399="",COUNT(D399:E399,H399:I399,L399:N399)&lt;&gt;7),"ناقص",IF(OR(MIN(D399:E399,H399:I399,L399:N399)&lt;0,Q399&lt;0),"ورودی نامعتبر",IF(R399&lt;0,"کسری",IF(R399&gt;0,"اضافه","بدون مغایرت")))))</x:f>
      </x:c>
      <x:c r="V399" s="10" t="str">
        <x:f>IF(OR(A399="",B399=""),"",IF(COUNTIFS($A$8:$A$507,A399,$B$8:$B$507,B399)&gt;1,"ثبت تکراری",""))</x:f>
      </x:c>
      <x:c r="W399" s="9"/>
    </x:row>
    <x:row r="400" ht="25" customHeight="1">
      <x:c r="A400" s="11"/>
      <x:c r="B400" s="11"/>
      <x:c r="C400" s="11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3" t="str">
        <x:f>IF(COUNT(D400:E400)=2,SUM(D400:E400),"")</x:f>
      </x:c>
      <x:c r="P400" s="13" t="str">
        <x:f>IF(COUNT(H400:I400)=2,SUM(H400:I400),"")</x:f>
      </x:c>
      <x:c r="Q400" s="13" t="str">
        <x:f>IF(AND(ISNUMBER(O400),COUNT(L400:N400)=3),O400+L400-M400-N400,"")</x:f>
      </x:c>
      <x:c r="R400" s="13" t="str">
        <x:f>IF(AND(A400&lt;&gt;"",B400&lt;&gt;"",ISNUMBER(P400),ISNUMBER(Q400)),P400-Q400,"")</x:f>
      </x:c>
      <x:c r="S400" s="13" t="str">
        <x:f>IF(COUNT(H400,J400)=2,J400-H400,"")</x:f>
      </x:c>
      <x:c r="T400" s="13" t="str">
        <x:f>IF(COUNT(I400,K400)=2,K400-I400,"")</x:f>
      </x:c>
      <x:c r="U400" s="10" t="str">
        <x:f>IF(NOT(OR(A400&lt;&gt;"",B400&lt;&gt;"",COUNT(D400:N400)&gt;0)),"",IF(OR(A400="",B400="",COUNT(D400:E400,H400:I400,L400:N400)&lt;&gt;7),"ناقص",IF(OR(MIN(D400:E400,H400:I400,L400:N400)&lt;0,Q400&lt;0),"ورودی نامعتبر",IF(R400&lt;0,"کسری",IF(R400&gt;0,"اضافه","بدون مغایرت")))))</x:f>
      </x:c>
      <x:c r="V400" s="10" t="str">
        <x:f>IF(OR(A400="",B400=""),"",IF(COUNTIFS($A$8:$A$507,A400,$B$8:$B$507,B400)&gt;1,"ثبت تکراری",""))</x:f>
      </x:c>
      <x:c r="W400" s="9"/>
    </x:row>
    <x:row r="401" ht="25" customHeight="1">
      <x:c r="A401" s="11"/>
      <x:c r="B401" s="11"/>
      <x:c r="C401" s="11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3" t="str">
        <x:f>IF(COUNT(D401:E401)=2,SUM(D401:E401),"")</x:f>
      </x:c>
      <x:c r="P401" s="13" t="str">
        <x:f>IF(COUNT(H401:I401)=2,SUM(H401:I401),"")</x:f>
      </x:c>
      <x:c r="Q401" s="13" t="str">
        <x:f>IF(AND(ISNUMBER(O401),COUNT(L401:N401)=3),O401+L401-M401-N401,"")</x:f>
      </x:c>
      <x:c r="R401" s="13" t="str">
        <x:f>IF(AND(A401&lt;&gt;"",B401&lt;&gt;"",ISNUMBER(P401),ISNUMBER(Q401)),P401-Q401,"")</x:f>
      </x:c>
      <x:c r="S401" s="13" t="str">
        <x:f>IF(COUNT(H401,J401)=2,J401-H401,"")</x:f>
      </x:c>
      <x:c r="T401" s="13" t="str">
        <x:f>IF(COUNT(I401,K401)=2,K401-I401,"")</x:f>
      </x:c>
      <x:c r="U401" s="10" t="str">
        <x:f>IF(NOT(OR(A401&lt;&gt;"",B401&lt;&gt;"",COUNT(D401:N401)&gt;0)),"",IF(OR(A401="",B401="",COUNT(D401:E401,H401:I401,L401:N401)&lt;&gt;7),"ناقص",IF(OR(MIN(D401:E401,H401:I401,L401:N401)&lt;0,Q401&lt;0),"ورودی نامعتبر",IF(R401&lt;0,"کسری",IF(R401&gt;0,"اضافه","بدون مغایرت")))))</x:f>
      </x:c>
      <x:c r="V401" s="10" t="str">
        <x:f>IF(OR(A401="",B401=""),"",IF(COUNTIFS($A$8:$A$507,A401,$B$8:$B$507,B401)&gt;1,"ثبت تکراری",""))</x:f>
      </x:c>
      <x:c r="W401" s="9"/>
    </x:row>
    <x:row r="402" ht="25" customHeight="1">
      <x:c r="A402" s="11"/>
      <x:c r="B402" s="11"/>
      <x:c r="C402" s="11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3" t="str">
        <x:f>IF(COUNT(D402:E402)=2,SUM(D402:E402),"")</x:f>
      </x:c>
      <x:c r="P402" s="13" t="str">
        <x:f>IF(COUNT(H402:I402)=2,SUM(H402:I402),"")</x:f>
      </x:c>
      <x:c r="Q402" s="13" t="str">
        <x:f>IF(AND(ISNUMBER(O402),COUNT(L402:N402)=3),O402+L402-M402-N402,"")</x:f>
      </x:c>
      <x:c r="R402" s="13" t="str">
        <x:f>IF(AND(A402&lt;&gt;"",B402&lt;&gt;"",ISNUMBER(P402),ISNUMBER(Q402)),P402-Q402,"")</x:f>
      </x:c>
      <x:c r="S402" s="13" t="str">
        <x:f>IF(COUNT(H402,J402)=2,J402-H402,"")</x:f>
      </x:c>
      <x:c r="T402" s="13" t="str">
        <x:f>IF(COUNT(I402,K402)=2,K402-I402,"")</x:f>
      </x:c>
      <x:c r="U402" s="10" t="str">
        <x:f>IF(NOT(OR(A402&lt;&gt;"",B402&lt;&gt;"",COUNT(D402:N402)&gt;0)),"",IF(OR(A402="",B402="",COUNT(D402:E402,H402:I402,L402:N402)&lt;&gt;7),"ناقص",IF(OR(MIN(D402:E402,H402:I402,L402:N402)&lt;0,Q402&lt;0),"ورودی نامعتبر",IF(R402&lt;0,"کسری",IF(R402&gt;0,"اضافه","بدون مغایرت")))))</x:f>
      </x:c>
      <x:c r="V402" s="10" t="str">
        <x:f>IF(OR(A402="",B402=""),"",IF(COUNTIFS($A$8:$A$507,A402,$B$8:$B$507,B402)&gt;1,"ثبت تکراری",""))</x:f>
      </x:c>
      <x:c r="W402" s="9"/>
    </x:row>
    <x:row r="403" ht="25" customHeight="1">
      <x:c r="A403" s="11"/>
      <x:c r="B403" s="11"/>
      <x:c r="C403" s="11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3" t="str">
        <x:f>IF(COUNT(D403:E403)=2,SUM(D403:E403),"")</x:f>
      </x:c>
      <x:c r="P403" s="13" t="str">
        <x:f>IF(COUNT(H403:I403)=2,SUM(H403:I403),"")</x:f>
      </x:c>
      <x:c r="Q403" s="13" t="str">
        <x:f>IF(AND(ISNUMBER(O403),COUNT(L403:N403)=3),O403+L403-M403-N403,"")</x:f>
      </x:c>
      <x:c r="R403" s="13" t="str">
        <x:f>IF(AND(A403&lt;&gt;"",B403&lt;&gt;"",ISNUMBER(P403),ISNUMBER(Q403)),P403-Q403,"")</x:f>
      </x:c>
      <x:c r="S403" s="13" t="str">
        <x:f>IF(COUNT(H403,J403)=2,J403-H403,"")</x:f>
      </x:c>
      <x:c r="T403" s="13" t="str">
        <x:f>IF(COUNT(I403,K403)=2,K403-I403,"")</x:f>
      </x:c>
      <x:c r="U403" s="10" t="str">
        <x:f>IF(NOT(OR(A403&lt;&gt;"",B403&lt;&gt;"",COUNT(D403:N403)&gt;0)),"",IF(OR(A403="",B403="",COUNT(D403:E403,H403:I403,L403:N403)&lt;&gt;7),"ناقص",IF(OR(MIN(D403:E403,H403:I403,L403:N403)&lt;0,Q403&lt;0),"ورودی نامعتبر",IF(R403&lt;0,"کسری",IF(R403&gt;0,"اضافه","بدون مغایرت")))))</x:f>
      </x:c>
      <x:c r="V403" s="10" t="str">
        <x:f>IF(OR(A403="",B403=""),"",IF(COUNTIFS($A$8:$A$507,A403,$B$8:$B$507,B403)&gt;1,"ثبت تکراری",""))</x:f>
      </x:c>
      <x:c r="W403" s="9"/>
    </x:row>
    <x:row r="404" ht="25" customHeight="1">
      <x:c r="A404" s="11"/>
      <x:c r="B404" s="11"/>
      <x:c r="C404" s="11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3" t="str">
        <x:f>IF(COUNT(D404:E404)=2,SUM(D404:E404),"")</x:f>
      </x:c>
      <x:c r="P404" s="13" t="str">
        <x:f>IF(COUNT(H404:I404)=2,SUM(H404:I404),"")</x:f>
      </x:c>
      <x:c r="Q404" s="13" t="str">
        <x:f>IF(AND(ISNUMBER(O404),COUNT(L404:N404)=3),O404+L404-M404-N404,"")</x:f>
      </x:c>
      <x:c r="R404" s="13" t="str">
        <x:f>IF(AND(A404&lt;&gt;"",B404&lt;&gt;"",ISNUMBER(P404),ISNUMBER(Q404)),P404-Q404,"")</x:f>
      </x:c>
      <x:c r="S404" s="13" t="str">
        <x:f>IF(COUNT(H404,J404)=2,J404-H404,"")</x:f>
      </x:c>
      <x:c r="T404" s="13" t="str">
        <x:f>IF(COUNT(I404,K404)=2,K404-I404,"")</x:f>
      </x:c>
      <x:c r="U404" s="10" t="str">
        <x:f>IF(NOT(OR(A404&lt;&gt;"",B404&lt;&gt;"",COUNT(D404:N404)&gt;0)),"",IF(OR(A404="",B404="",COUNT(D404:E404,H404:I404,L404:N404)&lt;&gt;7),"ناقص",IF(OR(MIN(D404:E404,H404:I404,L404:N404)&lt;0,Q404&lt;0),"ورودی نامعتبر",IF(R404&lt;0,"کسری",IF(R404&gt;0,"اضافه","بدون مغایرت")))))</x:f>
      </x:c>
      <x:c r="V404" s="10" t="str">
        <x:f>IF(OR(A404="",B404=""),"",IF(COUNTIFS($A$8:$A$507,A404,$B$8:$B$507,B404)&gt;1,"ثبت تکراری",""))</x:f>
      </x:c>
      <x:c r="W404" s="9"/>
    </x:row>
    <x:row r="405" ht="25" customHeight="1">
      <x:c r="A405" s="11"/>
      <x:c r="B405" s="11"/>
      <x:c r="C405" s="11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3" t="str">
        <x:f>IF(COUNT(D405:E405)=2,SUM(D405:E405),"")</x:f>
      </x:c>
      <x:c r="P405" s="13" t="str">
        <x:f>IF(COUNT(H405:I405)=2,SUM(H405:I405),"")</x:f>
      </x:c>
      <x:c r="Q405" s="13" t="str">
        <x:f>IF(AND(ISNUMBER(O405),COUNT(L405:N405)=3),O405+L405-M405-N405,"")</x:f>
      </x:c>
      <x:c r="R405" s="13" t="str">
        <x:f>IF(AND(A405&lt;&gt;"",B405&lt;&gt;"",ISNUMBER(P405),ISNUMBER(Q405)),P405-Q405,"")</x:f>
      </x:c>
      <x:c r="S405" s="13" t="str">
        <x:f>IF(COUNT(H405,J405)=2,J405-H405,"")</x:f>
      </x:c>
      <x:c r="T405" s="13" t="str">
        <x:f>IF(COUNT(I405,K405)=2,K405-I405,"")</x:f>
      </x:c>
      <x:c r="U405" s="10" t="str">
        <x:f>IF(NOT(OR(A405&lt;&gt;"",B405&lt;&gt;"",COUNT(D405:N405)&gt;0)),"",IF(OR(A405="",B405="",COUNT(D405:E405,H405:I405,L405:N405)&lt;&gt;7),"ناقص",IF(OR(MIN(D405:E405,H405:I405,L405:N405)&lt;0,Q405&lt;0),"ورودی نامعتبر",IF(R405&lt;0,"کسری",IF(R405&gt;0,"اضافه","بدون مغایرت")))))</x:f>
      </x:c>
      <x:c r="V405" s="10" t="str">
        <x:f>IF(OR(A405="",B405=""),"",IF(COUNTIFS($A$8:$A$507,A405,$B$8:$B$507,B405)&gt;1,"ثبت تکراری",""))</x:f>
      </x:c>
      <x:c r="W405" s="9"/>
    </x:row>
    <x:row r="406" ht="25" customHeight="1">
      <x:c r="A406" s="11"/>
      <x:c r="B406" s="11"/>
      <x:c r="C406" s="11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3" t="str">
        <x:f>IF(COUNT(D406:E406)=2,SUM(D406:E406),"")</x:f>
      </x:c>
      <x:c r="P406" s="13" t="str">
        <x:f>IF(COUNT(H406:I406)=2,SUM(H406:I406),"")</x:f>
      </x:c>
      <x:c r="Q406" s="13" t="str">
        <x:f>IF(AND(ISNUMBER(O406),COUNT(L406:N406)=3),O406+L406-M406-N406,"")</x:f>
      </x:c>
      <x:c r="R406" s="13" t="str">
        <x:f>IF(AND(A406&lt;&gt;"",B406&lt;&gt;"",ISNUMBER(P406),ISNUMBER(Q406)),P406-Q406,"")</x:f>
      </x:c>
      <x:c r="S406" s="13" t="str">
        <x:f>IF(COUNT(H406,J406)=2,J406-H406,"")</x:f>
      </x:c>
      <x:c r="T406" s="13" t="str">
        <x:f>IF(COUNT(I406,K406)=2,K406-I406,"")</x:f>
      </x:c>
      <x:c r="U406" s="10" t="str">
        <x:f>IF(NOT(OR(A406&lt;&gt;"",B406&lt;&gt;"",COUNT(D406:N406)&gt;0)),"",IF(OR(A406="",B406="",COUNT(D406:E406,H406:I406,L406:N406)&lt;&gt;7),"ناقص",IF(OR(MIN(D406:E406,H406:I406,L406:N406)&lt;0,Q406&lt;0),"ورودی نامعتبر",IF(R406&lt;0,"کسری",IF(R406&gt;0,"اضافه","بدون مغایرت")))))</x:f>
      </x:c>
      <x:c r="V406" s="10" t="str">
        <x:f>IF(OR(A406="",B406=""),"",IF(COUNTIFS($A$8:$A$507,A406,$B$8:$B$507,B406)&gt;1,"ثبت تکراری",""))</x:f>
      </x:c>
      <x:c r="W406" s="9"/>
    </x:row>
    <x:row r="407" ht="25" customHeight="1">
      <x:c r="A407" s="11"/>
      <x:c r="B407" s="11"/>
      <x:c r="C407" s="11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3" t="str">
        <x:f>IF(COUNT(D407:E407)=2,SUM(D407:E407),"")</x:f>
      </x:c>
      <x:c r="P407" s="13" t="str">
        <x:f>IF(COUNT(H407:I407)=2,SUM(H407:I407),"")</x:f>
      </x:c>
      <x:c r="Q407" s="13" t="str">
        <x:f>IF(AND(ISNUMBER(O407),COUNT(L407:N407)=3),O407+L407-M407-N407,"")</x:f>
      </x:c>
      <x:c r="R407" s="13" t="str">
        <x:f>IF(AND(A407&lt;&gt;"",B407&lt;&gt;"",ISNUMBER(P407),ISNUMBER(Q407)),P407-Q407,"")</x:f>
      </x:c>
      <x:c r="S407" s="13" t="str">
        <x:f>IF(COUNT(H407,J407)=2,J407-H407,"")</x:f>
      </x:c>
      <x:c r="T407" s="13" t="str">
        <x:f>IF(COUNT(I407,K407)=2,K407-I407,"")</x:f>
      </x:c>
      <x:c r="U407" s="10" t="str">
        <x:f>IF(NOT(OR(A407&lt;&gt;"",B407&lt;&gt;"",COUNT(D407:N407)&gt;0)),"",IF(OR(A407="",B407="",COUNT(D407:E407,H407:I407,L407:N407)&lt;&gt;7),"ناقص",IF(OR(MIN(D407:E407,H407:I407,L407:N407)&lt;0,Q407&lt;0),"ورودی نامعتبر",IF(R407&lt;0,"کسری",IF(R407&gt;0,"اضافه","بدون مغایرت")))))</x:f>
      </x:c>
      <x:c r="V407" s="10" t="str">
        <x:f>IF(OR(A407="",B407=""),"",IF(COUNTIFS($A$8:$A$507,A407,$B$8:$B$507,B407)&gt;1,"ثبت تکراری",""))</x:f>
      </x:c>
      <x:c r="W407" s="9"/>
    </x:row>
    <x:row r="408" ht="25" customHeight="1">
      <x:c r="A408" s="11"/>
      <x:c r="B408" s="11"/>
      <x:c r="C408" s="11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3" t="str">
        <x:f>IF(COUNT(D408:E408)=2,SUM(D408:E408),"")</x:f>
      </x:c>
      <x:c r="P408" s="13" t="str">
        <x:f>IF(COUNT(H408:I408)=2,SUM(H408:I408),"")</x:f>
      </x:c>
      <x:c r="Q408" s="13" t="str">
        <x:f>IF(AND(ISNUMBER(O408),COUNT(L408:N408)=3),O408+L408-M408-N408,"")</x:f>
      </x:c>
      <x:c r="R408" s="13" t="str">
        <x:f>IF(AND(A408&lt;&gt;"",B408&lt;&gt;"",ISNUMBER(P408),ISNUMBER(Q408)),P408-Q408,"")</x:f>
      </x:c>
      <x:c r="S408" s="13" t="str">
        <x:f>IF(COUNT(H408,J408)=2,J408-H408,"")</x:f>
      </x:c>
      <x:c r="T408" s="13" t="str">
        <x:f>IF(COUNT(I408,K408)=2,K408-I408,"")</x:f>
      </x:c>
      <x:c r="U408" s="10" t="str">
        <x:f>IF(NOT(OR(A408&lt;&gt;"",B408&lt;&gt;"",COUNT(D408:N408)&gt;0)),"",IF(OR(A408="",B408="",COUNT(D408:E408,H408:I408,L408:N408)&lt;&gt;7),"ناقص",IF(OR(MIN(D408:E408,H408:I408,L408:N408)&lt;0,Q408&lt;0),"ورودی نامعتبر",IF(R408&lt;0,"کسری",IF(R408&gt;0,"اضافه","بدون مغایرت")))))</x:f>
      </x:c>
      <x:c r="V408" s="10" t="str">
        <x:f>IF(OR(A408="",B408=""),"",IF(COUNTIFS($A$8:$A$507,A408,$B$8:$B$507,B408)&gt;1,"ثبت تکراری",""))</x:f>
      </x:c>
      <x:c r="W408" s="9"/>
    </x:row>
    <x:row r="409" ht="25" customHeight="1">
      <x:c r="A409" s="11"/>
      <x:c r="B409" s="11"/>
      <x:c r="C409" s="11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3" t="str">
        <x:f>IF(COUNT(D409:E409)=2,SUM(D409:E409),"")</x:f>
      </x:c>
      <x:c r="P409" s="13" t="str">
        <x:f>IF(COUNT(H409:I409)=2,SUM(H409:I409),"")</x:f>
      </x:c>
      <x:c r="Q409" s="13" t="str">
        <x:f>IF(AND(ISNUMBER(O409),COUNT(L409:N409)=3),O409+L409-M409-N409,"")</x:f>
      </x:c>
      <x:c r="R409" s="13" t="str">
        <x:f>IF(AND(A409&lt;&gt;"",B409&lt;&gt;"",ISNUMBER(P409),ISNUMBER(Q409)),P409-Q409,"")</x:f>
      </x:c>
      <x:c r="S409" s="13" t="str">
        <x:f>IF(COUNT(H409,J409)=2,J409-H409,"")</x:f>
      </x:c>
      <x:c r="T409" s="13" t="str">
        <x:f>IF(COUNT(I409,K409)=2,K409-I409,"")</x:f>
      </x:c>
      <x:c r="U409" s="10" t="str">
        <x:f>IF(NOT(OR(A409&lt;&gt;"",B409&lt;&gt;"",COUNT(D409:N409)&gt;0)),"",IF(OR(A409="",B409="",COUNT(D409:E409,H409:I409,L409:N409)&lt;&gt;7),"ناقص",IF(OR(MIN(D409:E409,H409:I409,L409:N409)&lt;0,Q409&lt;0),"ورودی نامعتبر",IF(R409&lt;0,"کسری",IF(R409&gt;0,"اضافه","بدون مغایرت")))))</x:f>
      </x:c>
      <x:c r="V409" s="10" t="str">
        <x:f>IF(OR(A409="",B409=""),"",IF(COUNTIFS($A$8:$A$507,A409,$B$8:$B$507,B409)&gt;1,"ثبت تکراری",""))</x:f>
      </x:c>
      <x:c r="W409" s="9"/>
    </x:row>
    <x:row r="410" ht="25" customHeight="1">
      <x:c r="A410" s="11"/>
      <x:c r="B410" s="11"/>
      <x:c r="C410" s="11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3" t="str">
        <x:f>IF(COUNT(D410:E410)=2,SUM(D410:E410),"")</x:f>
      </x:c>
      <x:c r="P410" s="13" t="str">
        <x:f>IF(COUNT(H410:I410)=2,SUM(H410:I410),"")</x:f>
      </x:c>
      <x:c r="Q410" s="13" t="str">
        <x:f>IF(AND(ISNUMBER(O410),COUNT(L410:N410)=3),O410+L410-M410-N410,"")</x:f>
      </x:c>
      <x:c r="R410" s="13" t="str">
        <x:f>IF(AND(A410&lt;&gt;"",B410&lt;&gt;"",ISNUMBER(P410),ISNUMBER(Q410)),P410-Q410,"")</x:f>
      </x:c>
      <x:c r="S410" s="13" t="str">
        <x:f>IF(COUNT(H410,J410)=2,J410-H410,"")</x:f>
      </x:c>
      <x:c r="T410" s="13" t="str">
        <x:f>IF(COUNT(I410,K410)=2,K410-I410,"")</x:f>
      </x:c>
      <x:c r="U410" s="10" t="str">
        <x:f>IF(NOT(OR(A410&lt;&gt;"",B410&lt;&gt;"",COUNT(D410:N410)&gt;0)),"",IF(OR(A410="",B410="",COUNT(D410:E410,H410:I410,L410:N410)&lt;&gt;7),"ناقص",IF(OR(MIN(D410:E410,H410:I410,L410:N410)&lt;0,Q410&lt;0),"ورودی نامعتبر",IF(R410&lt;0,"کسری",IF(R410&gt;0,"اضافه","بدون مغایرت")))))</x:f>
      </x:c>
      <x:c r="V410" s="10" t="str">
        <x:f>IF(OR(A410="",B410=""),"",IF(COUNTIFS($A$8:$A$507,A410,$B$8:$B$507,B410)&gt;1,"ثبت تکراری",""))</x:f>
      </x:c>
      <x:c r="W410" s="9"/>
    </x:row>
    <x:row r="411" ht="25" customHeight="1">
      <x:c r="A411" s="11"/>
      <x:c r="B411" s="11"/>
      <x:c r="C411" s="11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3" t="str">
        <x:f>IF(COUNT(D411:E411)=2,SUM(D411:E411),"")</x:f>
      </x:c>
      <x:c r="P411" s="13" t="str">
        <x:f>IF(COUNT(H411:I411)=2,SUM(H411:I411),"")</x:f>
      </x:c>
      <x:c r="Q411" s="13" t="str">
        <x:f>IF(AND(ISNUMBER(O411),COUNT(L411:N411)=3),O411+L411-M411-N411,"")</x:f>
      </x:c>
      <x:c r="R411" s="13" t="str">
        <x:f>IF(AND(A411&lt;&gt;"",B411&lt;&gt;"",ISNUMBER(P411),ISNUMBER(Q411)),P411-Q411,"")</x:f>
      </x:c>
      <x:c r="S411" s="13" t="str">
        <x:f>IF(COUNT(H411,J411)=2,J411-H411,"")</x:f>
      </x:c>
      <x:c r="T411" s="13" t="str">
        <x:f>IF(COUNT(I411,K411)=2,K411-I411,"")</x:f>
      </x:c>
      <x:c r="U411" s="10" t="str">
        <x:f>IF(NOT(OR(A411&lt;&gt;"",B411&lt;&gt;"",COUNT(D411:N411)&gt;0)),"",IF(OR(A411="",B411="",COUNT(D411:E411,H411:I411,L411:N411)&lt;&gt;7),"ناقص",IF(OR(MIN(D411:E411,H411:I411,L411:N411)&lt;0,Q411&lt;0),"ورودی نامعتبر",IF(R411&lt;0,"کسری",IF(R411&gt;0,"اضافه","بدون مغایرت")))))</x:f>
      </x:c>
      <x:c r="V411" s="10" t="str">
        <x:f>IF(OR(A411="",B411=""),"",IF(COUNTIFS($A$8:$A$507,A411,$B$8:$B$507,B411)&gt;1,"ثبت تکراری",""))</x:f>
      </x:c>
      <x:c r="W411" s="9"/>
    </x:row>
    <x:row r="412" ht="25" customHeight="1">
      <x:c r="A412" s="11"/>
      <x:c r="B412" s="11"/>
      <x:c r="C412" s="11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3" t="str">
        <x:f>IF(COUNT(D412:E412)=2,SUM(D412:E412),"")</x:f>
      </x:c>
      <x:c r="P412" s="13" t="str">
        <x:f>IF(COUNT(H412:I412)=2,SUM(H412:I412),"")</x:f>
      </x:c>
      <x:c r="Q412" s="13" t="str">
        <x:f>IF(AND(ISNUMBER(O412),COUNT(L412:N412)=3),O412+L412-M412-N412,"")</x:f>
      </x:c>
      <x:c r="R412" s="13" t="str">
        <x:f>IF(AND(A412&lt;&gt;"",B412&lt;&gt;"",ISNUMBER(P412),ISNUMBER(Q412)),P412-Q412,"")</x:f>
      </x:c>
      <x:c r="S412" s="13" t="str">
        <x:f>IF(COUNT(H412,J412)=2,J412-H412,"")</x:f>
      </x:c>
      <x:c r="T412" s="13" t="str">
        <x:f>IF(COUNT(I412,K412)=2,K412-I412,"")</x:f>
      </x:c>
      <x:c r="U412" s="10" t="str">
        <x:f>IF(NOT(OR(A412&lt;&gt;"",B412&lt;&gt;"",COUNT(D412:N412)&gt;0)),"",IF(OR(A412="",B412="",COUNT(D412:E412,H412:I412,L412:N412)&lt;&gt;7),"ناقص",IF(OR(MIN(D412:E412,H412:I412,L412:N412)&lt;0,Q412&lt;0),"ورودی نامعتبر",IF(R412&lt;0,"کسری",IF(R412&gt;0,"اضافه","بدون مغایرت")))))</x:f>
      </x:c>
      <x:c r="V412" s="10" t="str">
        <x:f>IF(OR(A412="",B412=""),"",IF(COUNTIFS($A$8:$A$507,A412,$B$8:$B$507,B412)&gt;1,"ثبت تکراری",""))</x:f>
      </x:c>
      <x:c r="W412" s="9"/>
    </x:row>
    <x:row r="413" ht="25" customHeight="1">
      <x:c r="A413" s="11"/>
      <x:c r="B413" s="11"/>
      <x:c r="C413" s="11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3" t="str">
        <x:f>IF(COUNT(D413:E413)=2,SUM(D413:E413),"")</x:f>
      </x:c>
      <x:c r="P413" s="13" t="str">
        <x:f>IF(COUNT(H413:I413)=2,SUM(H413:I413),"")</x:f>
      </x:c>
      <x:c r="Q413" s="13" t="str">
        <x:f>IF(AND(ISNUMBER(O413),COUNT(L413:N413)=3),O413+L413-M413-N413,"")</x:f>
      </x:c>
      <x:c r="R413" s="13" t="str">
        <x:f>IF(AND(A413&lt;&gt;"",B413&lt;&gt;"",ISNUMBER(P413),ISNUMBER(Q413)),P413-Q413,"")</x:f>
      </x:c>
      <x:c r="S413" s="13" t="str">
        <x:f>IF(COUNT(H413,J413)=2,J413-H413,"")</x:f>
      </x:c>
      <x:c r="T413" s="13" t="str">
        <x:f>IF(COUNT(I413,K413)=2,K413-I413,"")</x:f>
      </x:c>
      <x:c r="U413" s="10" t="str">
        <x:f>IF(NOT(OR(A413&lt;&gt;"",B413&lt;&gt;"",COUNT(D413:N413)&gt;0)),"",IF(OR(A413="",B413="",COUNT(D413:E413,H413:I413,L413:N413)&lt;&gt;7),"ناقص",IF(OR(MIN(D413:E413,H413:I413,L413:N413)&lt;0,Q413&lt;0),"ورودی نامعتبر",IF(R413&lt;0,"کسری",IF(R413&gt;0,"اضافه","بدون مغایرت")))))</x:f>
      </x:c>
      <x:c r="V413" s="10" t="str">
        <x:f>IF(OR(A413="",B413=""),"",IF(COUNTIFS($A$8:$A$507,A413,$B$8:$B$507,B413)&gt;1,"ثبت تکراری",""))</x:f>
      </x:c>
      <x:c r="W413" s="9"/>
    </x:row>
    <x:row r="414" ht="25" customHeight="1">
      <x:c r="A414" s="11"/>
      <x:c r="B414" s="11"/>
      <x:c r="C414" s="11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3" t="str">
        <x:f>IF(COUNT(D414:E414)=2,SUM(D414:E414),"")</x:f>
      </x:c>
      <x:c r="P414" s="13" t="str">
        <x:f>IF(COUNT(H414:I414)=2,SUM(H414:I414),"")</x:f>
      </x:c>
      <x:c r="Q414" s="13" t="str">
        <x:f>IF(AND(ISNUMBER(O414),COUNT(L414:N414)=3),O414+L414-M414-N414,"")</x:f>
      </x:c>
      <x:c r="R414" s="13" t="str">
        <x:f>IF(AND(A414&lt;&gt;"",B414&lt;&gt;"",ISNUMBER(P414),ISNUMBER(Q414)),P414-Q414,"")</x:f>
      </x:c>
      <x:c r="S414" s="13" t="str">
        <x:f>IF(COUNT(H414,J414)=2,J414-H414,"")</x:f>
      </x:c>
      <x:c r="T414" s="13" t="str">
        <x:f>IF(COUNT(I414,K414)=2,K414-I414,"")</x:f>
      </x:c>
      <x:c r="U414" s="10" t="str">
        <x:f>IF(NOT(OR(A414&lt;&gt;"",B414&lt;&gt;"",COUNT(D414:N414)&gt;0)),"",IF(OR(A414="",B414="",COUNT(D414:E414,H414:I414,L414:N414)&lt;&gt;7),"ناقص",IF(OR(MIN(D414:E414,H414:I414,L414:N414)&lt;0,Q414&lt;0),"ورودی نامعتبر",IF(R414&lt;0,"کسری",IF(R414&gt;0,"اضافه","بدون مغایرت")))))</x:f>
      </x:c>
      <x:c r="V414" s="10" t="str">
        <x:f>IF(OR(A414="",B414=""),"",IF(COUNTIFS($A$8:$A$507,A414,$B$8:$B$507,B414)&gt;1,"ثبت تکراری",""))</x:f>
      </x:c>
      <x:c r="W414" s="9"/>
    </x:row>
    <x:row r="415" ht="25" customHeight="1">
      <x:c r="A415" s="11"/>
      <x:c r="B415" s="11"/>
      <x:c r="C415" s="11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3" t="str">
        <x:f>IF(COUNT(D415:E415)=2,SUM(D415:E415),"")</x:f>
      </x:c>
      <x:c r="P415" s="13" t="str">
        <x:f>IF(COUNT(H415:I415)=2,SUM(H415:I415),"")</x:f>
      </x:c>
      <x:c r="Q415" s="13" t="str">
        <x:f>IF(AND(ISNUMBER(O415),COUNT(L415:N415)=3),O415+L415-M415-N415,"")</x:f>
      </x:c>
      <x:c r="R415" s="13" t="str">
        <x:f>IF(AND(A415&lt;&gt;"",B415&lt;&gt;"",ISNUMBER(P415),ISNUMBER(Q415)),P415-Q415,"")</x:f>
      </x:c>
      <x:c r="S415" s="13" t="str">
        <x:f>IF(COUNT(H415,J415)=2,J415-H415,"")</x:f>
      </x:c>
      <x:c r="T415" s="13" t="str">
        <x:f>IF(COUNT(I415,K415)=2,K415-I415,"")</x:f>
      </x:c>
      <x:c r="U415" s="10" t="str">
        <x:f>IF(NOT(OR(A415&lt;&gt;"",B415&lt;&gt;"",COUNT(D415:N415)&gt;0)),"",IF(OR(A415="",B415="",COUNT(D415:E415,H415:I415,L415:N415)&lt;&gt;7),"ناقص",IF(OR(MIN(D415:E415,H415:I415,L415:N415)&lt;0,Q415&lt;0),"ورودی نامعتبر",IF(R415&lt;0,"کسری",IF(R415&gt;0,"اضافه","بدون مغایرت")))))</x:f>
      </x:c>
      <x:c r="V415" s="10" t="str">
        <x:f>IF(OR(A415="",B415=""),"",IF(COUNTIFS($A$8:$A$507,A415,$B$8:$B$507,B415)&gt;1,"ثبت تکراری",""))</x:f>
      </x:c>
      <x:c r="W415" s="9"/>
    </x:row>
    <x:row r="416" ht="25" customHeight="1">
      <x:c r="A416" s="11"/>
      <x:c r="B416" s="11"/>
      <x:c r="C416" s="11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3" t="str">
        <x:f>IF(COUNT(D416:E416)=2,SUM(D416:E416),"")</x:f>
      </x:c>
      <x:c r="P416" s="13" t="str">
        <x:f>IF(COUNT(H416:I416)=2,SUM(H416:I416),"")</x:f>
      </x:c>
      <x:c r="Q416" s="13" t="str">
        <x:f>IF(AND(ISNUMBER(O416),COUNT(L416:N416)=3),O416+L416-M416-N416,"")</x:f>
      </x:c>
      <x:c r="R416" s="13" t="str">
        <x:f>IF(AND(A416&lt;&gt;"",B416&lt;&gt;"",ISNUMBER(P416),ISNUMBER(Q416)),P416-Q416,"")</x:f>
      </x:c>
      <x:c r="S416" s="13" t="str">
        <x:f>IF(COUNT(H416,J416)=2,J416-H416,"")</x:f>
      </x:c>
      <x:c r="T416" s="13" t="str">
        <x:f>IF(COUNT(I416,K416)=2,K416-I416,"")</x:f>
      </x:c>
      <x:c r="U416" s="10" t="str">
        <x:f>IF(NOT(OR(A416&lt;&gt;"",B416&lt;&gt;"",COUNT(D416:N416)&gt;0)),"",IF(OR(A416="",B416="",COUNT(D416:E416,H416:I416,L416:N416)&lt;&gt;7),"ناقص",IF(OR(MIN(D416:E416,H416:I416,L416:N416)&lt;0,Q416&lt;0),"ورودی نامعتبر",IF(R416&lt;0,"کسری",IF(R416&gt;0,"اضافه","بدون مغایرت")))))</x:f>
      </x:c>
      <x:c r="V416" s="10" t="str">
        <x:f>IF(OR(A416="",B416=""),"",IF(COUNTIFS($A$8:$A$507,A416,$B$8:$B$507,B416)&gt;1,"ثبت تکراری",""))</x:f>
      </x:c>
      <x:c r="W416" s="9"/>
    </x:row>
    <x:row r="417" ht="25" customHeight="1">
      <x:c r="A417" s="11"/>
      <x:c r="B417" s="11"/>
      <x:c r="C417" s="11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3" t="str">
        <x:f>IF(COUNT(D417:E417)=2,SUM(D417:E417),"")</x:f>
      </x:c>
      <x:c r="P417" s="13" t="str">
        <x:f>IF(COUNT(H417:I417)=2,SUM(H417:I417),"")</x:f>
      </x:c>
      <x:c r="Q417" s="13" t="str">
        <x:f>IF(AND(ISNUMBER(O417),COUNT(L417:N417)=3),O417+L417-M417-N417,"")</x:f>
      </x:c>
      <x:c r="R417" s="13" t="str">
        <x:f>IF(AND(A417&lt;&gt;"",B417&lt;&gt;"",ISNUMBER(P417),ISNUMBER(Q417)),P417-Q417,"")</x:f>
      </x:c>
      <x:c r="S417" s="13" t="str">
        <x:f>IF(COUNT(H417,J417)=2,J417-H417,"")</x:f>
      </x:c>
      <x:c r="T417" s="13" t="str">
        <x:f>IF(COUNT(I417,K417)=2,K417-I417,"")</x:f>
      </x:c>
      <x:c r="U417" s="10" t="str">
        <x:f>IF(NOT(OR(A417&lt;&gt;"",B417&lt;&gt;"",COUNT(D417:N417)&gt;0)),"",IF(OR(A417="",B417="",COUNT(D417:E417,H417:I417,L417:N417)&lt;&gt;7),"ناقص",IF(OR(MIN(D417:E417,H417:I417,L417:N417)&lt;0,Q417&lt;0),"ورودی نامعتبر",IF(R417&lt;0,"کسری",IF(R417&gt;0,"اضافه","بدون مغایرت")))))</x:f>
      </x:c>
      <x:c r="V417" s="10" t="str">
        <x:f>IF(OR(A417="",B417=""),"",IF(COUNTIFS($A$8:$A$507,A417,$B$8:$B$507,B417)&gt;1,"ثبت تکراری",""))</x:f>
      </x:c>
      <x:c r="W417" s="9"/>
    </x:row>
    <x:row r="418" ht="25" customHeight="1">
      <x:c r="A418" s="11"/>
      <x:c r="B418" s="11"/>
      <x:c r="C418" s="11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3" t="str">
        <x:f>IF(COUNT(D418:E418)=2,SUM(D418:E418),"")</x:f>
      </x:c>
      <x:c r="P418" s="13" t="str">
        <x:f>IF(COUNT(H418:I418)=2,SUM(H418:I418),"")</x:f>
      </x:c>
      <x:c r="Q418" s="13" t="str">
        <x:f>IF(AND(ISNUMBER(O418),COUNT(L418:N418)=3),O418+L418-M418-N418,"")</x:f>
      </x:c>
      <x:c r="R418" s="13" t="str">
        <x:f>IF(AND(A418&lt;&gt;"",B418&lt;&gt;"",ISNUMBER(P418),ISNUMBER(Q418)),P418-Q418,"")</x:f>
      </x:c>
      <x:c r="S418" s="13" t="str">
        <x:f>IF(COUNT(H418,J418)=2,J418-H418,"")</x:f>
      </x:c>
      <x:c r="T418" s="13" t="str">
        <x:f>IF(COUNT(I418,K418)=2,K418-I418,"")</x:f>
      </x:c>
      <x:c r="U418" s="10" t="str">
        <x:f>IF(NOT(OR(A418&lt;&gt;"",B418&lt;&gt;"",COUNT(D418:N418)&gt;0)),"",IF(OR(A418="",B418="",COUNT(D418:E418,H418:I418,L418:N418)&lt;&gt;7),"ناقص",IF(OR(MIN(D418:E418,H418:I418,L418:N418)&lt;0,Q418&lt;0),"ورودی نامعتبر",IF(R418&lt;0,"کسری",IF(R418&gt;0,"اضافه","بدون مغایرت")))))</x:f>
      </x:c>
      <x:c r="V418" s="10" t="str">
        <x:f>IF(OR(A418="",B418=""),"",IF(COUNTIFS($A$8:$A$507,A418,$B$8:$B$507,B418)&gt;1,"ثبت تکراری",""))</x:f>
      </x:c>
      <x:c r="W418" s="9"/>
    </x:row>
    <x:row r="419" ht="25" customHeight="1">
      <x:c r="A419" s="11"/>
      <x:c r="B419" s="11"/>
      <x:c r="C419" s="11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3" t="str">
        <x:f>IF(COUNT(D419:E419)=2,SUM(D419:E419),"")</x:f>
      </x:c>
      <x:c r="P419" s="13" t="str">
        <x:f>IF(COUNT(H419:I419)=2,SUM(H419:I419),"")</x:f>
      </x:c>
      <x:c r="Q419" s="13" t="str">
        <x:f>IF(AND(ISNUMBER(O419),COUNT(L419:N419)=3),O419+L419-M419-N419,"")</x:f>
      </x:c>
      <x:c r="R419" s="13" t="str">
        <x:f>IF(AND(A419&lt;&gt;"",B419&lt;&gt;"",ISNUMBER(P419),ISNUMBER(Q419)),P419-Q419,"")</x:f>
      </x:c>
      <x:c r="S419" s="13" t="str">
        <x:f>IF(COUNT(H419,J419)=2,J419-H419,"")</x:f>
      </x:c>
      <x:c r="T419" s="13" t="str">
        <x:f>IF(COUNT(I419,K419)=2,K419-I419,"")</x:f>
      </x:c>
      <x:c r="U419" s="10" t="str">
        <x:f>IF(NOT(OR(A419&lt;&gt;"",B419&lt;&gt;"",COUNT(D419:N419)&gt;0)),"",IF(OR(A419="",B419="",COUNT(D419:E419,H419:I419,L419:N419)&lt;&gt;7),"ناقص",IF(OR(MIN(D419:E419,H419:I419,L419:N419)&lt;0,Q419&lt;0),"ورودی نامعتبر",IF(R419&lt;0,"کسری",IF(R419&gt;0,"اضافه","بدون مغایرت")))))</x:f>
      </x:c>
      <x:c r="V419" s="10" t="str">
        <x:f>IF(OR(A419="",B419=""),"",IF(COUNTIFS($A$8:$A$507,A419,$B$8:$B$507,B419)&gt;1,"ثبت تکراری",""))</x:f>
      </x:c>
      <x:c r="W419" s="9"/>
    </x:row>
    <x:row r="420" ht="25" customHeight="1">
      <x:c r="A420" s="11"/>
      <x:c r="B420" s="11"/>
      <x:c r="C420" s="11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3" t="str">
        <x:f>IF(COUNT(D420:E420)=2,SUM(D420:E420),"")</x:f>
      </x:c>
      <x:c r="P420" s="13" t="str">
        <x:f>IF(COUNT(H420:I420)=2,SUM(H420:I420),"")</x:f>
      </x:c>
      <x:c r="Q420" s="13" t="str">
        <x:f>IF(AND(ISNUMBER(O420),COUNT(L420:N420)=3),O420+L420-M420-N420,"")</x:f>
      </x:c>
      <x:c r="R420" s="13" t="str">
        <x:f>IF(AND(A420&lt;&gt;"",B420&lt;&gt;"",ISNUMBER(P420),ISNUMBER(Q420)),P420-Q420,"")</x:f>
      </x:c>
      <x:c r="S420" s="13" t="str">
        <x:f>IF(COUNT(H420,J420)=2,J420-H420,"")</x:f>
      </x:c>
      <x:c r="T420" s="13" t="str">
        <x:f>IF(COUNT(I420,K420)=2,K420-I420,"")</x:f>
      </x:c>
      <x:c r="U420" s="10" t="str">
        <x:f>IF(NOT(OR(A420&lt;&gt;"",B420&lt;&gt;"",COUNT(D420:N420)&gt;0)),"",IF(OR(A420="",B420="",COUNT(D420:E420,H420:I420,L420:N420)&lt;&gt;7),"ناقص",IF(OR(MIN(D420:E420,H420:I420,L420:N420)&lt;0,Q420&lt;0),"ورودی نامعتبر",IF(R420&lt;0,"کسری",IF(R420&gt;0,"اضافه","بدون مغایرت")))))</x:f>
      </x:c>
      <x:c r="V420" s="10" t="str">
        <x:f>IF(OR(A420="",B420=""),"",IF(COUNTIFS($A$8:$A$507,A420,$B$8:$B$507,B420)&gt;1,"ثبت تکراری",""))</x:f>
      </x:c>
      <x:c r="W420" s="9"/>
    </x:row>
    <x:row r="421" ht="25" customHeight="1">
      <x:c r="A421" s="11"/>
      <x:c r="B421" s="11"/>
      <x:c r="C421" s="11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3" t="str">
        <x:f>IF(COUNT(D421:E421)=2,SUM(D421:E421),"")</x:f>
      </x:c>
      <x:c r="P421" s="13" t="str">
        <x:f>IF(COUNT(H421:I421)=2,SUM(H421:I421),"")</x:f>
      </x:c>
      <x:c r="Q421" s="13" t="str">
        <x:f>IF(AND(ISNUMBER(O421),COUNT(L421:N421)=3),O421+L421-M421-N421,"")</x:f>
      </x:c>
      <x:c r="R421" s="13" t="str">
        <x:f>IF(AND(A421&lt;&gt;"",B421&lt;&gt;"",ISNUMBER(P421),ISNUMBER(Q421)),P421-Q421,"")</x:f>
      </x:c>
      <x:c r="S421" s="13" t="str">
        <x:f>IF(COUNT(H421,J421)=2,J421-H421,"")</x:f>
      </x:c>
      <x:c r="T421" s="13" t="str">
        <x:f>IF(COUNT(I421,K421)=2,K421-I421,"")</x:f>
      </x:c>
      <x:c r="U421" s="10" t="str">
        <x:f>IF(NOT(OR(A421&lt;&gt;"",B421&lt;&gt;"",COUNT(D421:N421)&gt;0)),"",IF(OR(A421="",B421="",COUNT(D421:E421,H421:I421,L421:N421)&lt;&gt;7),"ناقص",IF(OR(MIN(D421:E421,H421:I421,L421:N421)&lt;0,Q421&lt;0),"ورودی نامعتبر",IF(R421&lt;0,"کسری",IF(R421&gt;0,"اضافه","بدون مغایرت")))))</x:f>
      </x:c>
      <x:c r="V421" s="10" t="str">
        <x:f>IF(OR(A421="",B421=""),"",IF(COUNTIFS($A$8:$A$507,A421,$B$8:$B$507,B421)&gt;1,"ثبت تکراری",""))</x:f>
      </x:c>
      <x:c r="W421" s="9"/>
    </x:row>
    <x:row r="422" ht="25" customHeight="1">
      <x:c r="A422" s="11"/>
      <x:c r="B422" s="11"/>
      <x:c r="C422" s="11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3" t="str">
        <x:f>IF(COUNT(D422:E422)=2,SUM(D422:E422),"")</x:f>
      </x:c>
      <x:c r="P422" s="13" t="str">
        <x:f>IF(COUNT(H422:I422)=2,SUM(H422:I422),"")</x:f>
      </x:c>
      <x:c r="Q422" s="13" t="str">
        <x:f>IF(AND(ISNUMBER(O422),COUNT(L422:N422)=3),O422+L422-M422-N422,"")</x:f>
      </x:c>
      <x:c r="R422" s="13" t="str">
        <x:f>IF(AND(A422&lt;&gt;"",B422&lt;&gt;"",ISNUMBER(P422),ISNUMBER(Q422)),P422-Q422,"")</x:f>
      </x:c>
      <x:c r="S422" s="13" t="str">
        <x:f>IF(COUNT(H422,J422)=2,J422-H422,"")</x:f>
      </x:c>
      <x:c r="T422" s="13" t="str">
        <x:f>IF(COUNT(I422,K422)=2,K422-I422,"")</x:f>
      </x:c>
      <x:c r="U422" s="10" t="str">
        <x:f>IF(NOT(OR(A422&lt;&gt;"",B422&lt;&gt;"",COUNT(D422:N422)&gt;0)),"",IF(OR(A422="",B422="",COUNT(D422:E422,H422:I422,L422:N422)&lt;&gt;7),"ناقص",IF(OR(MIN(D422:E422,H422:I422,L422:N422)&lt;0,Q422&lt;0),"ورودی نامعتبر",IF(R422&lt;0,"کسری",IF(R422&gt;0,"اضافه","بدون مغایرت")))))</x:f>
      </x:c>
      <x:c r="V422" s="10" t="str">
        <x:f>IF(OR(A422="",B422=""),"",IF(COUNTIFS($A$8:$A$507,A422,$B$8:$B$507,B422)&gt;1,"ثبت تکراری",""))</x:f>
      </x:c>
      <x:c r="W422" s="9"/>
    </x:row>
    <x:row r="423" ht="25" customHeight="1">
      <x:c r="A423" s="11"/>
      <x:c r="B423" s="11"/>
      <x:c r="C423" s="11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3" t="str">
        <x:f>IF(COUNT(D423:E423)=2,SUM(D423:E423),"")</x:f>
      </x:c>
      <x:c r="P423" s="13" t="str">
        <x:f>IF(COUNT(H423:I423)=2,SUM(H423:I423),"")</x:f>
      </x:c>
      <x:c r="Q423" s="13" t="str">
        <x:f>IF(AND(ISNUMBER(O423),COUNT(L423:N423)=3),O423+L423-M423-N423,"")</x:f>
      </x:c>
      <x:c r="R423" s="13" t="str">
        <x:f>IF(AND(A423&lt;&gt;"",B423&lt;&gt;"",ISNUMBER(P423),ISNUMBER(Q423)),P423-Q423,"")</x:f>
      </x:c>
      <x:c r="S423" s="13" t="str">
        <x:f>IF(COUNT(H423,J423)=2,J423-H423,"")</x:f>
      </x:c>
      <x:c r="T423" s="13" t="str">
        <x:f>IF(COUNT(I423,K423)=2,K423-I423,"")</x:f>
      </x:c>
      <x:c r="U423" s="10" t="str">
        <x:f>IF(NOT(OR(A423&lt;&gt;"",B423&lt;&gt;"",COUNT(D423:N423)&gt;0)),"",IF(OR(A423="",B423="",COUNT(D423:E423,H423:I423,L423:N423)&lt;&gt;7),"ناقص",IF(OR(MIN(D423:E423,H423:I423,L423:N423)&lt;0,Q423&lt;0),"ورودی نامعتبر",IF(R423&lt;0,"کسری",IF(R423&gt;0,"اضافه","بدون مغایرت")))))</x:f>
      </x:c>
      <x:c r="V423" s="10" t="str">
        <x:f>IF(OR(A423="",B423=""),"",IF(COUNTIFS($A$8:$A$507,A423,$B$8:$B$507,B423)&gt;1,"ثبت تکراری",""))</x:f>
      </x:c>
      <x:c r="W423" s="9"/>
    </x:row>
    <x:row r="424" ht="25" customHeight="1">
      <x:c r="A424" s="11"/>
      <x:c r="B424" s="11"/>
      <x:c r="C424" s="11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3" t="str">
        <x:f>IF(COUNT(D424:E424)=2,SUM(D424:E424),"")</x:f>
      </x:c>
      <x:c r="P424" s="13" t="str">
        <x:f>IF(COUNT(H424:I424)=2,SUM(H424:I424),"")</x:f>
      </x:c>
      <x:c r="Q424" s="13" t="str">
        <x:f>IF(AND(ISNUMBER(O424),COUNT(L424:N424)=3),O424+L424-M424-N424,"")</x:f>
      </x:c>
      <x:c r="R424" s="13" t="str">
        <x:f>IF(AND(A424&lt;&gt;"",B424&lt;&gt;"",ISNUMBER(P424),ISNUMBER(Q424)),P424-Q424,"")</x:f>
      </x:c>
      <x:c r="S424" s="13" t="str">
        <x:f>IF(COUNT(H424,J424)=2,J424-H424,"")</x:f>
      </x:c>
      <x:c r="T424" s="13" t="str">
        <x:f>IF(COUNT(I424,K424)=2,K424-I424,"")</x:f>
      </x:c>
      <x:c r="U424" s="10" t="str">
        <x:f>IF(NOT(OR(A424&lt;&gt;"",B424&lt;&gt;"",COUNT(D424:N424)&gt;0)),"",IF(OR(A424="",B424="",COUNT(D424:E424,H424:I424,L424:N424)&lt;&gt;7),"ناقص",IF(OR(MIN(D424:E424,H424:I424,L424:N424)&lt;0,Q424&lt;0),"ورودی نامعتبر",IF(R424&lt;0,"کسری",IF(R424&gt;0,"اضافه","بدون مغایرت")))))</x:f>
      </x:c>
      <x:c r="V424" s="10" t="str">
        <x:f>IF(OR(A424="",B424=""),"",IF(COUNTIFS($A$8:$A$507,A424,$B$8:$B$507,B424)&gt;1,"ثبت تکراری",""))</x:f>
      </x:c>
      <x:c r="W424" s="9"/>
    </x:row>
    <x:row r="425" ht="25" customHeight="1">
      <x:c r="A425" s="11"/>
      <x:c r="B425" s="11"/>
      <x:c r="C425" s="11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3" t="str">
        <x:f>IF(COUNT(D425:E425)=2,SUM(D425:E425),"")</x:f>
      </x:c>
      <x:c r="P425" s="13" t="str">
        <x:f>IF(COUNT(H425:I425)=2,SUM(H425:I425),"")</x:f>
      </x:c>
      <x:c r="Q425" s="13" t="str">
        <x:f>IF(AND(ISNUMBER(O425),COUNT(L425:N425)=3),O425+L425-M425-N425,"")</x:f>
      </x:c>
      <x:c r="R425" s="13" t="str">
        <x:f>IF(AND(A425&lt;&gt;"",B425&lt;&gt;"",ISNUMBER(P425),ISNUMBER(Q425)),P425-Q425,"")</x:f>
      </x:c>
      <x:c r="S425" s="13" t="str">
        <x:f>IF(COUNT(H425,J425)=2,J425-H425,"")</x:f>
      </x:c>
      <x:c r="T425" s="13" t="str">
        <x:f>IF(COUNT(I425,K425)=2,K425-I425,"")</x:f>
      </x:c>
      <x:c r="U425" s="10" t="str">
        <x:f>IF(NOT(OR(A425&lt;&gt;"",B425&lt;&gt;"",COUNT(D425:N425)&gt;0)),"",IF(OR(A425="",B425="",COUNT(D425:E425,H425:I425,L425:N425)&lt;&gt;7),"ناقص",IF(OR(MIN(D425:E425,H425:I425,L425:N425)&lt;0,Q425&lt;0),"ورودی نامعتبر",IF(R425&lt;0,"کسری",IF(R425&gt;0,"اضافه","بدون مغایرت")))))</x:f>
      </x:c>
      <x:c r="V425" s="10" t="str">
        <x:f>IF(OR(A425="",B425=""),"",IF(COUNTIFS($A$8:$A$507,A425,$B$8:$B$507,B425)&gt;1,"ثبت تکراری",""))</x:f>
      </x:c>
      <x:c r="W425" s="9"/>
    </x:row>
    <x:row r="426" ht="25" customHeight="1">
      <x:c r="A426" s="11"/>
      <x:c r="B426" s="11"/>
      <x:c r="C426" s="11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3" t="str">
        <x:f>IF(COUNT(D426:E426)=2,SUM(D426:E426),"")</x:f>
      </x:c>
      <x:c r="P426" s="13" t="str">
        <x:f>IF(COUNT(H426:I426)=2,SUM(H426:I426),"")</x:f>
      </x:c>
      <x:c r="Q426" s="13" t="str">
        <x:f>IF(AND(ISNUMBER(O426),COUNT(L426:N426)=3),O426+L426-M426-N426,"")</x:f>
      </x:c>
      <x:c r="R426" s="13" t="str">
        <x:f>IF(AND(A426&lt;&gt;"",B426&lt;&gt;"",ISNUMBER(P426),ISNUMBER(Q426)),P426-Q426,"")</x:f>
      </x:c>
      <x:c r="S426" s="13" t="str">
        <x:f>IF(COUNT(H426,J426)=2,J426-H426,"")</x:f>
      </x:c>
      <x:c r="T426" s="13" t="str">
        <x:f>IF(COUNT(I426,K426)=2,K426-I426,"")</x:f>
      </x:c>
      <x:c r="U426" s="10" t="str">
        <x:f>IF(NOT(OR(A426&lt;&gt;"",B426&lt;&gt;"",COUNT(D426:N426)&gt;0)),"",IF(OR(A426="",B426="",COUNT(D426:E426,H426:I426,L426:N426)&lt;&gt;7),"ناقص",IF(OR(MIN(D426:E426,H426:I426,L426:N426)&lt;0,Q426&lt;0),"ورودی نامعتبر",IF(R426&lt;0,"کسری",IF(R426&gt;0,"اضافه","بدون مغایرت")))))</x:f>
      </x:c>
      <x:c r="V426" s="10" t="str">
        <x:f>IF(OR(A426="",B426=""),"",IF(COUNTIFS($A$8:$A$507,A426,$B$8:$B$507,B426)&gt;1,"ثبت تکراری",""))</x:f>
      </x:c>
      <x:c r="W426" s="9"/>
    </x:row>
    <x:row r="427" ht="25" customHeight="1">
      <x:c r="A427" s="11"/>
      <x:c r="B427" s="11"/>
      <x:c r="C427" s="11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3" t="str">
        <x:f>IF(COUNT(D427:E427)=2,SUM(D427:E427),"")</x:f>
      </x:c>
      <x:c r="P427" s="13" t="str">
        <x:f>IF(COUNT(H427:I427)=2,SUM(H427:I427),"")</x:f>
      </x:c>
      <x:c r="Q427" s="13" t="str">
        <x:f>IF(AND(ISNUMBER(O427),COUNT(L427:N427)=3),O427+L427-M427-N427,"")</x:f>
      </x:c>
      <x:c r="R427" s="13" t="str">
        <x:f>IF(AND(A427&lt;&gt;"",B427&lt;&gt;"",ISNUMBER(P427),ISNUMBER(Q427)),P427-Q427,"")</x:f>
      </x:c>
      <x:c r="S427" s="13" t="str">
        <x:f>IF(COUNT(H427,J427)=2,J427-H427,"")</x:f>
      </x:c>
      <x:c r="T427" s="13" t="str">
        <x:f>IF(COUNT(I427,K427)=2,K427-I427,"")</x:f>
      </x:c>
      <x:c r="U427" s="10" t="str">
        <x:f>IF(NOT(OR(A427&lt;&gt;"",B427&lt;&gt;"",COUNT(D427:N427)&gt;0)),"",IF(OR(A427="",B427="",COUNT(D427:E427,H427:I427,L427:N427)&lt;&gt;7),"ناقص",IF(OR(MIN(D427:E427,H427:I427,L427:N427)&lt;0,Q427&lt;0),"ورودی نامعتبر",IF(R427&lt;0,"کسری",IF(R427&gt;0,"اضافه","بدون مغایرت")))))</x:f>
      </x:c>
      <x:c r="V427" s="10" t="str">
        <x:f>IF(OR(A427="",B427=""),"",IF(COUNTIFS($A$8:$A$507,A427,$B$8:$B$507,B427)&gt;1,"ثبت تکراری",""))</x:f>
      </x:c>
      <x:c r="W427" s="9"/>
    </x:row>
    <x:row r="428" ht="25" customHeight="1">
      <x:c r="A428" s="11"/>
      <x:c r="B428" s="11"/>
      <x:c r="C428" s="11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3" t="str">
        <x:f>IF(COUNT(D428:E428)=2,SUM(D428:E428),"")</x:f>
      </x:c>
      <x:c r="P428" s="13" t="str">
        <x:f>IF(COUNT(H428:I428)=2,SUM(H428:I428),"")</x:f>
      </x:c>
      <x:c r="Q428" s="13" t="str">
        <x:f>IF(AND(ISNUMBER(O428),COUNT(L428:N428)=3),O428+L428-M428-N428,"")</x:f>
      </x:c>
      <x:c r="R428" s="13" t="str">
        <x:f>IF(AND(A428&lt;&gt;"",B428&lt;&gt;"",ISNUMBER(P428),ISNUMBER(Q428)),P428-Q428,"")</x:f>
      </x:c>
      <x:c r="S428" s="13" t="str">
        <x:f>IF(COUNT(H428,J428)=2,J428-H428,"")</x:f>
      </x:c>
      <x:c r="T428" s="13" t="str">
        <x:f>IF(COUNT(I428,K428)=2,K428-I428,"")</x:f>
      </x:c>
      <x:c r="U428" s="10" t="str">
        <x:f>IF(NOT(OR(A428&lt;&gt;"",B428&lt;&gt;"",COUNT(D428:N428)&gt;0)),"",IF(OR(A428="",B428="",COUNT(D428:E428,H428:I428,L428:N428)&lt;&gt;7),"ناقص",IF(OR(MIN(D428:E428,H428:I428,L428:N428)&lt;0,Q428&lt;0),"ورودی نامعتبر",IF(R428&lt;0,"کسری",IF(R428&gt;0,"اضافه","بدون مغایرت")))))</x:f>
      </x:c>
      <x:c r="V428" s="10" t="str">
        <x:f>IF(OR(A428="",B428=""),"",IF(COUNTIFS($A$8:$A$507,A428,$B$8:$B$507,B428)&gt;1,"ثبت تکراری",""))</x:f>
      </x:c>
      <x:c r="W428" s="9"/>
    </x:row>
    <x:row r="429" ht="25" customHeight="1">
      <x:c r="A429" s="11"/>
      <x:c r="B429" s="11"/>
      <x:c r="C429" s="11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3" t="str">
        <x:f>IF(COUNT(D429:E429)=2,SUM(D429:E429),"")</x:f>
      </x:c>
      <x:c r="P429" s="13" t="str">
        <x:f>IF(COUNT(H429:I429)=2,SUM(H429:I429),"")</x:f>
      </x:c>
      <x:c r="Q429" s="13" t="str">
        <x:f>IF(AND(ISNUMBER(O429),COUNT(L429:N429)=3),O429+L429-M429-N429,"")</x:f>
      </x:c>
      <x:c r="R429" s="13" t="str">
        <x:f>IF(AND(A429&lt;&gt;"",B429&lt;&gt;"",ISNUMBER(P429),ISNUMBER(Q429)),P429-Q429,"")</x:f>
      </x:c>
      <x:c r="S429" s="13" t="str">
        <x:f>IF(COUNT(H429,J429)=2,J429-H429,"")</x:f>
      </x:c>
      <x:c r="T429" s="13" t="str">
        <x:f>IF(COUNT(I429,K429)=2,K429-I429,"")</x:f>
      </x:c>
      <x:c r="U429" s="10" t="str">
        <x:f>IF(NOT(OR(A429&lt;&gt;"",B429&lt;&gt;"",COUNT(D429:N429)&gt;0)),"",IF(OR(A429="",B429="",COUNT(D429:E429,H429:I429,L429:N429)&lt;&gt;7),"ناقص",IF(OR(MIN(D429:E429,H429:I429,L429:N429)&lt;0,Q429&lt;0),"ورودی نامعتبر",IF(R429&lt;0,"کسری",IF(R429&gt;0,"اضافه","بدون مغایرت")))))</x:f>
      </x:c>
      <x:c r="V429" s="10" t="str">
        <x:f>IF(OR(A429="",B429=""),"",IF(COUNTIFS($A$8:$A$507,A429,$B$8:$B$507,B429)&gt;1,"ثبت تکراری",""))</x:f>
      </x:c>
      <x:c r="W429" s="9"/>
    </x:row>
    <x:row r="430" ht="25" customHeight="1">
      <x:c r="A430" s="11"/>
      <x:c r="B430" s="11"/>
      <x:c r="C430" s="11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3" t="str">
        <x:f>IF(COUNT(D430:E430)=2,SUM(D430:E430),"")</x:f>
      </x:c>
      <x:c r="P430" s="13" t="str">
        <x:f>IF(COUNT(H430:I430)=2,SUM(H430:I430),"")</x:f>
      </x:c>
      <x:c r="Q430" s="13" t="str">
        <x:f>IF(AND(ISNUMBER(O430),COUNT(L430:N430)=3),O430+L430-M430-N430,"")</x:f>
      </x:c>
      <x:c r="R430" s="13" t="str">
        <x:f>IF(AND(A430&lt;&gt;"",B430&lt;&gt;"",ISNUMBER(P430),ISNUMBER(Q430)),P430-Q430,"")</x:f>
      </x:c>
      <x:c r="S430" s="13" t="str">
        <x:f>IF(COUNT(H430,J430)=2,J430-H430,"")</x:f>
      </x:c>
      <x:c r="T430" s="13" t="str">
        <x:f>IF(COUNT(I430,K430)=2,K430-I430,"")</x:f>
      </x:c>
      <x:c r="U430" s="10" t="str">
        <x:f>IF(NOT(OR(A430&lt;&gt;"",B430&lt;&gt;"",COUNT(D430:N430)&gt;0)),"",IF(OR(A430="",B430="",COUNT(D430:E430,H430:I430,L430:N430)&lt;&gt;7),"ناقص",IF(OR(MIN(D430:E430,H430:I430,L430:N430)&lt;0,Q430&lt;0),"ورودی نامعتبر",IF(R430&lt;0,"کسری",IF(R430&gt;0,"اضافه","بدون مغایرت")))))</x:f>
      </x:c>
      <x:c r="V430" s="10" t="str">
        <x:f>IF(OR(A430="",B430=""),"",IF(COUNTIFS($A$8:$A$507,A430,$B$8:$B$507,B430)&gt;1,"ثبت تکراری",""))</x:f>
      </x:c>
      <x:c r="W430" s="9"/>
    </x:row>
    <x:row r="431" ht="25" customHeight="1">
      <x:c r="A431" s="11"/>
      <x:c r="B431" s="11"/>
      <x:c r="C431" s="11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3" t="str">
        <x:f>IF(COUNT(D431:E431)=2,SUM(D431:E431),"")</x:f>
      </x:c>
      <x:c r="P431" s="13" t="str">
        <x:f>IF(COUNT(H431:I431)=2,SUM(H431:I431),"")</x:f>
      </x:c>
      <x:c r="Q431" s="13" t="str">
        <x:f>IF(AND(ISNUMBER(O431),COUNT(L431:N431)=3),O431+L431-M431-N431,"")</x:f>
      </x:c>
      <x:c r="R431" s="13" t="str">
        <x:f>IF(AND(A431&lt;&gt;"",B431&lt;&gt;"",ISNUMBER(P431),ISNUMBER(Q431)),P431-Q431,"")</x:f>
      </x:c>
      <x:c r="S431" s="13" t="str">
        <x:f>IF(COUNT(H431,J431)=2,J431-H431,"")</x:f>
      </x:c>
      <x:c r="T431" s="13" t="str">
        <x:f>IF(COUNT(I431,K431)=2,K431-I431,"")</x:f>
      </x:c>
      <x:c r="U431" s="10" t="str">
        <x:f>IF(NOT(OR(A431&lt;&gt;"",B431&lt;&gt;"",COUNT(D431:N431)&gt;0)),"",IF(OR(A431="",B431="",COUNT(D431:E431,H431:I431,L431:N431)&lt;&gt;7),"ناقص",IF(OR(MIN(D431:E431,H431:I431,L431:N431)&lt;0,Q431&lt;0),"ورودی نامعتبر",IF(R431&lt;0,"کسری",IF(R431&gt;0,"اضافه","بدون مغایرت")))))</x:f>
      </x:c>
      <x:c r="V431" s="10" t="str">
        <x:f>IF(OR(A431="",B431=""),"",IF(COUNTIFS($A$8:$A$507,A431,$B$8:$B$507,B431)&gt;1,"ثبت تکراری",""))</x:f>
      </x:c>
      <x:c r="W431" s="9"/>
    </x:row>
    <x:row r="432" ht="25" customHeight="1">
      <x:c r="A432" s="11"/>
      <x:c r="B432" s="11"/>
      <x:c r="C432" s="11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3" t="str">
        <x:f>IF(COUNT(D432:E432)=2,SUM(D432:E432),"")</x:f>
      </x:c>
      <x:c r="P432" s="13" t="str">
        <x:f>IF(COUNT(H432:I432)=2,SUM(H432:I432),"")</x:f>
      </x:c>
      <x:c r="Q432" s="13" t="str">
        <x:f>IF(AND(ISNUMBER(O432),COUNT(L432:N432)=3),O432+L432-M432-N432,"")</x:f>
      </x:c>
      <x:c r="R432" s="13" t="str">
        <x:f>IF(AND(A432&lt;&gt;"",B432&lt;&gt;"",ISNUMBER(P432),ISNUMBER(Q432)),P432-Q432,"")</x:f>
      </x:c>
      <x:c r="S432" s="13" t="str">
        <x:f>IF(COUNT(H432,J432)=2,J432-H432,"")</x:f>
      </x:c>
      <x:c r="T432" s="13" t="str">
        <x:f>IF(COUNT(I432,K432)=2,K432-I432,"")</x:f>
      </x:c>
      <x:c r="U432" s="10" t="str">
        <x:f>IF(NOT(OR(A432&lt;&gt;"",B432&lt;&gt;"",COUNT(D432:N432)&gt;0)),"",IF(OR(A432="",B432="",COUNT(D432:E432,H432:I432,L432:N432)&lt;&gt;7),"ناقص",IF(OR(MIN(D432:E432,H432:I432,L432:N432)&lt;0,Q432&lt;0),"ورودی نامعتبر",IF(R432&lt;0,"کسری",IF(R432&gt;0,"اضافه","بدون مغایرت")))))</x:f>
      </x:c>
      <x:c r="V432" s="10" t="str">
        <x:f>IF(OR(A432="",B432=""),"",IF(COUNTIFS($A$8:$A$507,A432,$B$8:$B$507,B432)&gt;1,"ثبت تکراری",""))</x:f>
      </x:c>
      <x:c r="W432" s="9"/>
    </x:row>
    <x:row r="433" ht="25" customHeight="1">
      <x:c r="A433" s="11"/>
      <x:c r="B433" s="11"/>
      <x:c r="C433" s="11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3" t="str">
        <x:f>IF(COUNT(D433:E433)=2,SUM(D433:E433),"")</x:f>
      </x:c>
      <x:c r="P433" s="13" t="str">
        <x:f>IF(COUNT(H433:I433)=2,SUM(H433:I433),"")</x:f>
      </x:c>
      <x:c r="Q433" s="13" t="str">
        <x:f>IF(AND(ISNUMBER(O433),COUNT(L433:N433)=3),O433+L433-M433-N433,"")</x:f>
      </x:c>
      <x:c r="R433" s="13" t="str">
        <x:f>IF(AND(A433&lt;&gt;"",B433&lt;&gt;"",ISNUMBER(P433),ISNUMBER(Q433)),P433-Q433,"")</x:f>
      </x:c>
      <x:c r="S433" s="13" t="str">
        <x:f>IF(COUNT(H433,J433)=2,J433-H433,"")</x:f>
      </x:c>
      <x:c r="T433" s="13" t="str">
        <x:f>IF(COUNT(I433,K433)=2,K433-I433,"")</x:f>
      </x:c>
      <x:c r="U433" s="10" t="str">
        <x:f>IF(NOT(OR(A433&lt;&gt;"",B433&lt;&gt;"",COUNT(D433:N433)&gt;0)),"",IF(OR(A433="",B433="",COUNT(D433:E433,H433:I433,L433:N433)&lt;&gt;7),"ناقص",IF(OR(MIN(D433:E433,H433:I433,L433:N433)&lt;0,Q433&lt;0),"ورودی نامعتبر",IF(R433&lt;0,"کسری",IF(R433&gt;0,"اضافه","بدون مغایرت")))))</x:f>
      </x:c>
      <x:c r="V433" s="10" t="str">
        <x:f>IF(OR(A433="",B433=""),"",IF(COUNTIFS($A$8:$A$507,A433,$B$8:$B$507,B433)&gt;1,"ثبت تکراری",""))</x:f>
      </x:c>
      <x:c r="W433" s="9"/>
    </x:row>
    <x:row r="434" ht="25" customHeight="1">
      <x:c r="A434" s="11"/>
      <x:c r="B434" s="11"/>
      <x:c r="C434" s="11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3" t="str">
        <x:f>IF(COUNT(D434:E434)=2,SUM(D434:E434),"")</x:f>
      </x:c>
      <x:c r="P434" s="13" t="str">
        <x:f>IF(COUNT(H434:I434)=2,SUM(H434:I434),"")</x:f>
      </x:c>
      <x:c r="Q434" s="13" t="str">
        <x:f>IF(AND(ISNUMBER(O434),COUNT(L434:N434)=3),O434+L434-M434-N434,"")</x:f>
      </x:c>
      <x:c r="R434" s="13" t="str">
        <x:f>IF(AND(A434&lt;&gt;"",B434&lt;&gt;"",ISNUMBER(P434),ISNUMBER(Q434)),P434-Q434,"")</x:f>
      </x:c>
      <x:c r="S434" s="13" t="str">
        <x:f>IF(COUNT(H434,J434)=2,J434-H434,"")</x:f>
      </x:c>
      <x:c r="T434" s="13" t="str">
        <x:f>IF(COUNT(I434,K434)=2,K434-I434,"")</x:f>
      </x:c>
      <x:c r="U434" s="10" t="str">
        <x:f>IF(NOT(OR(A434&lt;&gt;"",B434&lt;&gt;"",COUNT(D434:N434)&gt;0)),"",IF(OR(A434="",B434="",COUNT(D434:E434,H434:I434,L434:N434)&lt;&gt;7),"ناقص",IF(OR(MIN(D434:E434,H434:I434,L434:N434)&lt;0,Q434&lt;0),"ورودی نامعتبر",IF(R434&lt;0,"کسری",IF(R434&gt;0,"اضافه","بدون مغایرت")))))</x:f>
      </x:c>
      <x:c r="V434" s="10" t="str">
        <x:f>IF(OR(A434="",B434=""),"",IF(COUNTIFS($A$8:$A$507,A434,$B$8:$B$507,B434)&gt;1,"ثبت تکراری",""))</x:f>
      </x:c>
      <x:c r="W434" s="9"/>
    </x:row>
    <x:row r="435" ht="25" customHeight="1">
      <x:c r="A435" s="11"/>
      <x:c r="B435" s="11"/>
      <x:c r="C435" s="11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3" t="str">
        <x:f>IF(COUNT(D435:E435)=2,SUM(D435:E435),"")</x:f>
      </x:c>
      <x:c r="P435" s="13" t="str">
        <x:f>IF(COUNT(H435:I435)=2,SUM(H435:I435),"")</x:f>
      </x:c>
      <x:c r="Q435" s="13" t="str">
        <x:f>IF(AND(ISNUMBER(O435),COUNT(L435:N435)=3),O435+L435-M435-N435,"")</x:f>
      </x:c>
      <x:c r="R435" s="13" t="str">
        <x:f>IF(AND(A435&lt;&gt;"",B435&lt;&gt;"",ISNUMBER(P435),ISNUMBER(Q435)),P435-Q435,"")</x:f>
      </x:c>
      <x:c r="S435" s="13" t="str">
        <x:f>IF(COUNT(H435,J435)=2,J435-H435,"")</x:f>
      </x:c>
      <x:c r="T435" s="13" t="str">
        <x:f>IF(COUNT(I435,K435)=2,K435-I435,"")</x:f>
      </x:c>
      <x:c r="U435" s="10" t="str">
        <x:f>IF(NOT(OR(A435&lt;&gt;"",B435&lt;&gt;"",COUNT(D435:N435)&gt;0)),"",IF(OR(A435="",B435="",COUNT(D435:E435,H435:I435,L435:N435)&lt;&gt;7),"ناقص",IF(OR(MIN(D435:E435,H435:I435,L435:N435)&lt;0,Q435&lt;0),"ورودی نامعتبر",IF(R435&lt;0,"کسری",IF(R435&gt;0,"اضافه","بدون مغایرت")))))</x:f>
      </x:c>
      <x:c r="V435" s="10" t="str">
        <x:f>IF(OR(A435="",B435=""),"",IF(COUNTIFS($A$8:$A$507,A435,$B$8:$B$507,B435)&gt;1,"ثبت تکراری",""))</x:f>
      </x:c>
      <x:c r="W435" s="9"/>
    </x:row>
    <x:row r="436" ht="25" customHeight="1">
      <x:c r="A436" s="11"/>
      <x:c r="B436" s="11"/>
      <x:c r="C436" s="11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3" t="str">
        <x:f>IF(COUNT(D436:E436)=2,SUM(D436:E436),"")</x:f>
      </x:c>
      <x:c r="P436" s="13" t="str">
        <x:f>IF(COUNT(H436:I436)=2,SUM(H436:I436),"")</x:f>
      </x:c>
      <x:c r="Q436" s="13" t="str">
        <x:f>IF(AND(ISNUMBER(O436),COUNT(L436:N436)=3),O436+L436-M436-N436,"")</x:f>
      </x:c>
      <x:c r="R436" s="13" t="str">
        <x:f>IF(AND(A436&lt;&gt;"",B436&lt;&gt;"",ISNUMBER(P436),ISNUMBER(Q436)),P436-Q436,"")</x:f>
      </x:c>
      <x:c r="S436" s="13" t="str">
        <x:f>IF(COUNT(H436,J436)=2,J436-H436,"")</x:f>
      </x:c>
      <x:c r="T436" s="13" t="str">
        <x:f>IF(COUNT(I436,K436)=2,K436-I436,"")</x:f>
      </x:c>
      <x:c r="U436" s="10" t="str">
        <x:f>IF(NOT(OR(A436&lt;&gt;"",B436&lt;&gt;"",COUNT(D436:N436)&gt;0)),"",IF(OR(A436="",B436="",COUNT(D436:E436,H436:I436,L436:N436)&lt;&gt;7),"ناقص",IF(OR(MIN(D436:E436,H436:I436,L436:N436)&lt;0,Q436&lt;0),"ورودی نامعتبر",IF(R436&lt;0,"کسری",IF(R436&gt;0,"اضافه","بدون مغایرت")))))</x:f>
      </x:c>
      <x:c r="V436" s="10" t="str">
        <x:f>IF(OR(A436="",B436=""),"",IF(COUNTIFS($A$8:$A$507,A436,$B$8:$B$507,B436)&gt;1,"ثبت تکراری",""))</x:f>
      </x:c>
      <x:c r="W436" s="9"/>
    </x:row>
    <x:row r="437" ht="25" customHeight="1">
      <x:c r="A437" s="11"/>
      <x:c r="B437" s="11"/>
      <x:c r="C437" s="11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3" t="str">
        <x:f>IF(COUNT(D437:E437)=2,SUM(D437:E437),"")</x:f>
      </x:c>
      <x:c r="P437" s="13" t="str">
        <x:f>IF(COUNT(H437:I437)=2,SUM(H437:I437),"")</x:f>
      </x:c>
      <x:c r="Q437" s="13" t="str">
        <x:f>IF(AND(ISNUMBER(O437),COUNT(L437:N437)=3),O437+L437-M437-N437,"")</x:f>
      </x:c>
      <x:c r="R437" s="13" t="str">
        <x:f>IF(AND(A437&lt;&gt;"",B437&lt;&gt;"",ISNUMBER(P437),ISNUMBER(Q437)),P437-Q437,"")</x:f>
      </x:c>
      <x:c r="S437" s="13" t="str">
        <x:f>IF(COUNT(H437,J437)=2,J437-H437,"")</x:f>
      </x:c>
      <x:c r="T437" s="13" t="str">
        <x:f>IF(COUNT(I437,K437)=2,K437-I437,"")</x:f>
      </x:c>
      <x:c r="U437" s="10" t="str">
        <x:f>IF(NOT(OR(A437&lt;&gt;"",B437&lt;&gt;"",COUNT(D437:N437)&gt;0)),"",IF(OR(A437="",B437="",COUNT(D437:E437,H437:I437,L437:N437)&lt;&gt;7),"ناقص",IF(OR(MIN(D437:E437,H437:I437,L437:N437)&lt;0,Q437&lt;0),"ورودی نامعتبر",IF(R437&lt;0,"کسری",IF(R437&gt;0,"اضافه","بدون مغایرت")))))</x:f>
      </x:c>
      <x:c r="V437" s="10" t="str">
        <x:f>IF(OR(A437="",B437=""),"",IF(COUNTIFS($A$8:$A$507,A437,$B$8:$B$507,B437)&gt;1,"ثبت تکراری",""))</x:f>
      </x:c>
      <x:c r="W437" s="9"/>
    </x:row>
    <x:row r="438" ht="25" customHeight="1">
      <x:c r="A438" s="11"/>
      <x:c r="B438" s="11"/>
      <x:c r="C438" s="11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3" t="str">
        <x:f>IF(COUNT(D438:E438)=2,SUM(D438:E438),"")</x:f>
      </x:c>
      <x:c r="P438" s="13" t="str">
        <x:f>IF(COUNT(H438:I438)=2,SUM(H438:I438),"")</x:f>
      </x:c>
      <x:c r="Q438" s="13" t="str">
        <x:f>IF(AND(ISNUMBER(O438),COUNT(L438:N438)=3),O438+L438-M438-N438,"")</x:f>
      </x:c>
      <x:c r="R438" s="13" t="str">
        <x:f>IF(AND(A438&lt;&gt;"",B438&lt;&gt;"",ISNUMBER(P438),ISNUMBER(Q438)),P438-Q438,"")</x:f>
      </x:c>
      <x:c r="S438" s="13" t="str">
        <x:f>IF(COUNT(H438,J438)=2,J438-H438,"")</x:f>
      </x:c>
      <x:c r="T438" s="13" t="str">
        <x:f>IF(COUNT(I438,K438)=2,K438-I438,"")</x:f>
      </x:c>
      <x:c r="U438" s="10" t="str">
        <x:f>IF(NOT(OR(A438&lt;&gt;"",B438&lt;&gt;"",COUNT(D438:N438)&gt;0)),"",IF(OR(A438="",B438="",COUNT(D438:E438,H438:I438,L438:N438)&lt;&gt;7),"ناقص",IF(OR(MIN(D438:E438,H438:I438,L438:N438)&lt;0,Q438&lt;0),"ورودی نامعتبر",IF(R438&lt;0,"کسری",IF(R438&gt;0,"اضافه","بدون مغایرت")))))</x:f>
      </x:c>
      <x:c r="V438" s="10" t="str">
        <x:f>IF(OR(A438="",B438=""),"",IF(COUNTIFS($A$8:$A$507,A438,$B$8:$B$507,B438)&gt;1,"ثبت تکراری",""))</x:f>
      </x:c>
      <x:c r="W438" s="9"/>
    </x:row>
    <x:row r="439" ht="25" customHeight="1">
      <x:c r="A439" s="11"/>
      <x:c r="B439" s="11"/>
      <x:c r="C439" s="11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3" t="str">
        <x:f>IF(COUNT(D439:E439)=2,SUM(D439:E439),"")</x:f>
      </x:c>
      <x:c r="P439" s="13" t="str">
        <x:f>IF(COUNT(H439:I439)=2,SUM(H439:I439),"")</x:f>
      </x:c>
      <x:c r="Q439" s="13" t="str">
        <x:f>IF(AND(ISNUMBER(O439),COUNT(L439:N439)=3),O439+L439-M439-N439,"")</x:f>
      </x:c>
      <x:c r="R439" s="13" t="str">
        <x:f>IF(AND(A439&lt;&gt;"",B439&lt;&gt;"",ISNUMBER(P439),ISNUMBER(Q439)),P439-Q439,"")</x:f>
      </x:c>
      <x:c r="S439" s="13" t="str">
        <x:f>IF(COUNT(H439,J439)=2,J439-H439,"")</x:f>
      </x:c>
      <x:c r="T439" s="13" t="str">
        <x:f>IF(COUNT(I439,K439)=2,K439-I439,"")</x:f>
      </x:c>
      <x:c r="U439" s="10" t="str">
        <x:f>IF(NOT(OR(A439&lt;&gt;"",B439&lt;&gt;"",COUNT(D439:N439)&gt;0)),"",IF(OR(A439="",B439="",COUNT(D439:E439,H439:I439,L439:N439)&lt;&gt;7),"ناقص",IF(OR(MIN(D439:E439,H439:I439,L439:N439)&lt;0,Q439&lt;0),"ورودی نامعتبر",IF(R439&lt;0,"کسری",IF(R439&gt;0,"اضافه","بدون مغایرت")))))</x:f>
      </x:c>
      <x:c r="V439" s="10" t="str">
        <x:f>IF(OR(A439="",B439=""),"",IF(COUNTIFS($A$8:$A$507,A439,$B$8:$B$507,B439)&gt;1,"ثبت تکراری",""))</x:f>
      </x:c>
      <x:c r="W439" s="9"/>
    </x:row>
    <x:row r="440" ht="25" customHeight="1">
      <x:c r="A440" s="11"/>
      <x:c r="B440" s="11"/>
      <x:c r="C440" s="11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3" t="str">
        <x:f>IF(COUNT(D440:E440)=2,SUM(D440:E440),"")</x:f>
      </x:c>
      <x:c r="P440" s="13" t="str">
        <x:f>IF(COUNT(H440:I440)=2,SUM(H440:I440),"")</x:f>
      </x:c>
      <x:c r="Q440" s="13" t="str">
        <x:f>IF(AND(ISNUMBER(O440),COUNT(L440:N440)=3),O440+L440-M440-N440,"")</x:f>
      </x:c>
      <x:c r="R440" s="13" t="str">
        <x:f>IF(AND(A440&lt;&gt;"",B440&lt;&gt;"",ISNUMBER(P440),ISNUMBER(Q440)),P440-Q440,"")</x:f>
      </x:c>
      <x:c r="S440" s="13" t="str">
        <x:f>IF(COUNT(H440,J440)=2,J440-H440,"")</x:f>
      </x:c>
      <x:c r="T440" s="13" t="str">
        <x:f>IF(COUNT(I440,K440)=2,K440-I440,"")</x:f>
      </x:c>
      <x:c r="U440" s="10" t="str">
        <x:f>IF(NOT(OR(A440&lt;&gt;"",B440&lt;&gt;"",COUNT(D440:N440)&gt;0)),"",IF(OR(A440="",B440="",COUNT(D440:E440,H440:I440,L440:N440)&lt;&gt;7),"ناقص",IF(OR(MIN(D440:E440,H440:I440,L440:N440)&lt;0,Q440&lt;0),"ورودی نامعتبر",IF(R440&lt;0,"کسری",IF(R440&gt;0,"اضافه","بدون مغایرت")))))</x:f>
      </x:c>
      <x:c r="V440" s="10" t="str">
        <x:f>IF(OR(A440="",B440=""),"",IF(COUNTIFS($A$8:$A$507,A440,$B$8:$B$507,B440)&gt;1,"ثبت تکراری",""))</x:f>
      </x:c>
      <x:c r="W440" s="9"/>
    </x:row>
    <x:row r="441" ht="25" customHeight="1">
      <x:c r="A441" s="11"/>
      <x:c r="B441" s="11"/>
      <x:c r="C441" s="11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3" t="str">
        <x:f>IF(COUNT(D441:E441)=2,SUM(D441:E441),"")</x:f>
      </x:c>
      <x:c r="P441" s="13" t="str">
        <x:f>IF(COUNT(H441:I441)=2,SUM(H441:I441),"")</x:f>
      </x:c>
      <x:c r="Q441" s="13" t="str">
        <x:f>IF(AND(ISNUMBER(O441),COUNT(L441:N441)=3),O441+L441-M441-N441,"")</x:f>
      </x:c>
      <x:c r="R441" s="13" t="str">
        <x:f>IF(AND(A441&lt;&gt;"",B441&lt;&gt;"",ISNUMBER(P441),ISNUMBER(Q441)),P441-Q441,"")</x:f>
      </x:c>
      <x:c r="S441" s="13" t="str">
        <x:f>IF(COUNT(H441,J441)=2,J441-H441,"")</x:f>
      </x:c>
      <x:c r="T441" s="13" t="str">
        <x:f>IF(COUNT(I441,K441)=2,K441-I441,"")</x:f>
      </x:c>
      <x:c r="U441" s="10" t="str">
        <x:f>IF(NOT(OR(A441&lt;&gt;"",B441&lt;&gt;"",COUNT(D441:N441)&gt;0)),"",IF(OR(A441="",B441="",COUNT(D441:E441,H441:I441,L441:N441)&lt;&gt;7),"ناقص",IF(OR(MIN(D441:E441,H441:I441,L441:N441)&lt;0,Q441&lt;0),"ورودی نامعتبر",IF(R441&lt;0,"کسری",IF(R441&gt;0,"اضافه","بدون مغایرت")))))</x:f>
      </x:c>
      <x:c r="V441" s="10" t="str">
        <x:f>IF(OR(A441="",B441=""),"",IF(COUNTIFS($A$8:$A$507,A441,$B$8:$B$507,B441)&gt;1,"ثبت تکراری",""))</x:f>
      </x:c>
      <x:c r="W441" s="9"/>
    </x:row>
    <x:row r="442" ht="25" customHeight="1">
      <x:c r="A442" s="11"/>
      <x:c r="B442" s="11"/>
      <x:c r="C442" s="11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3" t="str">
        <x:f>IF(COUNT(D442:E442)=2,SUM(D442:E442),"")</x:f>
      </x:c>
      <x:c r="P442" s="13" t="str">
        <x:f>IF(COUNT(H442:I442)=2,SUM(H442:I442),"")</x:f>
      </x:c>
      <x:c r="Q442" s="13" t="str">
        <x:f>IF(AND(ISNUMBER(O442),COUNT(L442:N442)=3),O442+L442-M442-N442,"")</x:f>
      </x:c>
      <x:c r="R442" s="13" t="str">
        <x:f>IF(AND(A442&lt;&gt;"",B442&lt;&gt;"",ISNUMBER(P442),ISNUMBER(Q442)),P442-Q442,"")</x:f>
      </x:c>
      <x:c r="S442" s="13" t="str">
        <x:f>IF(COUNT(H442,J442)=2,J442-H442,"")</x:f>
      </x:c>
      <x:c r="T442" s="13" t="str">
        <x:f>IF(COUNT(I442,K442)=2,K442-I442,"")</x:f>
      </x:c>
      <x:c r="U442" s="10" t="str">
        <x:f>IF(NOT(OR(A442&lt;&gt;"",B442&lt;&gt;"",COUNT(D442:N442)&gt;0)),"",IF(OR(A442="",B442="",COUNT(D442:E442,H442:I442,L442:N442)&lt;&gt;7),"ناقص",IF(OR(MIN(D442:E442,H442:I442,L442:N442)&lt;0,Q442&lt;0),"ورودی نامعتبر",IF(R442&lt;0,"کسری",IF(R442&gt;0,"اضافه","بدون مغایرت")))))</x:f>
      </x:c>
      <x:c r="V442" s="10" t="str">
        <x:f>IF(OR(A442="",B442=""),"",IF(COUNTIFS($A$8:$A$507,A442,$B$8:$B$507,B442)&gt;1,"ثبت تکراری",""))</x:f>
      </x:c>
      <x:c r="W442" s="9"/>
    </x:row>
    <x:row r="443" ht="25" customHeight="1">
      <x:c r="A443" s="11"/>
      <x:c r="B443" s="11"/>
      <x:c r="C443" s="11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3" t="str">
        <x:f>IF(COUNT(D443:E443)=2,SUM(D443:E443),"")</x:f>
      </x:c>
      <x:c r="P443" s="13" t="str">
        <x:f>IF(COUNT(H443:I443)=2,SUM(H443:I443),"")</x:f>
      </x:c>
      <x:c r="Q443" s="13" t="str">
        <x:f>IF(AND(ISNUMBER(O443),COUNT(L443:N443)=3),O443+L443-M443-N443,"")</x:f>
      </x:c>
      <x:c r="R443" s="13" t="str">
        <x:f>IF(AND(A443&lt;&gt;"",B443&lt;&gt;"",ISNUMBER(P443),ISNUMBER(Q443)),P443-Q443,"")</x:f>
      </x:c>
      <x:c r="S443" s="13" t="str">
        <x:f>IF(COUNT(H443,J443)=2,J443-H443,"")</x:f>
      </x:c>
      <x:c r="T443" s="13" t="str">
        <x:f>IF(COUNT(I443,K443)=2,K443-I443,"")</x:f>
      </x:c>
      <x:c r="U443" s="10" t="str">
        <x:f>IF(NOT(OR(A443&lt;&gt;"",B443&lt;&gt;"",COUNT(D443:N443)&gt;0)),"",IF(OR(A443="",B443="",COUNT(D443:E443,H443:I443,L443:N443)&lt;&gt;7),"ناقص",IF(OR(MIN(D443:E443,H443:I443,L443:N443)&lt;0,Q443&lt;0),"ورودی نامعتبر",IF(R443&lt;0,"کسری",IF(R443&gt;0,"اضافه","بدون مغایرت")))))</x:f>
      </x:c>
      <x:c r="V443" s="10" t="str">
        <x:f>IF(OR(A443="",B443=""),"",IF(COUNTIFS($A$8:$A$507,A443,$B$8:$B$507,B443)&gt;1,"ثبت تکراری",""))</x:f>
      </x:c>
      <x:c r="W443" s="9"/>
    </x:row>
    <x:row r="444" ht="25" customHeight="1">
      <x:c r="A444" s="11"/>
      <x:c r="B444" s="11"/>
      <x:c r="C444" s="11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3" t="str">
        <x:f>IF(COUNT(D444:E444)=2,SUM(D444:E444),"")</x:f>
      </x:c>
      <x:c r="P444" s="13" t="str">
        <x:f>IF(COUNT(H444:I444)=2,SUM(H444:I444),"")</x:f>
      </x:c>
      <x:c r="Q444" s="13" t="str">
        <x:f>IF(AND(ISNUMBER(O444),COUNT(L444:N444)=3),O444+L444-M444-N444,"")</x:f>
      </x:c>
      <x:c r="R444" s="13" t="str">
        <x:f>IF(AND(A444&lt;&gt;"",B444&lt;&gt;"",ISNUMBER(P444),ISNUMBER(Q444)),P444-Q444,"")</x:f>
      </x:c>
      <x:c r="S444" s="13" t="str">
        <x:f>IF(COUNT(H444,J444)=2,J444-H444,"")</x:f>
      </x:c>
      <x:c r="T444" s="13" t="str">
        <x:f>IF(COUNT(I444,K444)=2,K444-I444,"")</x:f>
      </x:c>
      <x:c r="U444" s="10" t="str">
        <x:f>IF(NOT(OR(A444&lt;&gt;"",B444&lt;&gt;"",COUNT(D444:N444)&gt;0)),"",IF(OR(A444="",B444="",COUNT(D444:E444,H444:I444,L444:N444)&lt;&gt;7),"ناقص",IF(OR(MIN(D444:E444,H444:I444,L444:N444)&lt;0,Q444&lt;0),"ورودی نامعتبر",IF(R444&lt;0,"کسری",IF(R444&gt;0,"اضافه","بدون مغایرت")))))</x:f>
      </x:c>
      <x:c r="V444" s="10" t="str">
        <x:f>IF(OR(A444="",B444=""),"",IF(COUNTIFS($A$8:$A$507,A444,$B$8:$B$507,B444)&gt;1,"ثبت تکراری",""))</x:f>
      </x:c>
      <x:c r="W444" s="9"/>
    </x:row>
    <x:row r="445" ht="25" customHeight="1">
      <x:c r="A445" s="11"/>
      <x:c r="B445" s="11"/>
      <x:c r="C445" s="11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3" t="str">
        <x:f>IF(COUNT(D445:E445)=2,SUM(D445:E445),"")</x:f>
      </x:c>
      <x:c r="P445" s="13" t="str">
        <x:f>IF(COUNT(H445:I445)=2,SUM(H445:I445),"")</x:f>
      </x:c>
      <x:c r="Q445" s="13" t="str">
        <x:f>IF(AND(ISNUMBER(O445),COUNT(L445:N445)=3),O445+L445-M445-N445,"")</x:f>
      </x:c>
      <x:c r="R445" s="13" t="str">
        <x:f>IF(AND(A445&lt;&gt;"",B445&lt;&gt;"",ISNUMBER(P445),ISNUMBER(Q445)),P445-Q445,"")</x:f>
      </x:c>
      <x:c r="S445" s="13" t="str">
        <x:f>IF(COUNT(H445,J445)=2,J445-H445,"")</x:f>
      </x:c>
      <x:c r="T445" s="13" t="str">
        <x:f>IF(COUNT(I445,K445)=2,K445-I445,"")</x:f>
      </x:c>
      <x:c r="U445" s="10" t="str">
        <x:f>IF(NOT(OR(A445&lt;&gt;"",B445&lt;&gt;"",COUNT(D445:N445)&gt;0)),"",IF(OR(A445="",B445="",COUNT(D445:E445,H445:I445,L445:N445)&lt;&gt;7),"ناقص",IF(OR(MIN(D445:E445,H445:I445,L445:N445)&lt;0,Q445&lt;0),"ورودی نامعتبر",IF(R445&lt;0,"کسری",IF(R445&gt;0,"اضافه","بدون مغایرت")))))</x:f>
      </x:c>
      <x:c r="V445" s="10" t="str">
        <x:f>IF(OR(A445="",B445=""),"",IF(COUNTIFS($A$8:$A$507,A445,$B$8:$B$507,B445)&gt;1,"ثبت تکراری",""))</x:f>
      </x:c>
      <x:c r="W445" s="9"/>
    </x:row>
    <x:row r="446" ht="25" customHeight="1">
      <x:c r="A446" s="11"/>
      <x:c r="B446" s="11"/>
      <x:c r="C446" s="11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3" t="str">
        <x:f>IF(COUNT(D446:E446)=2,SUM(D446:E446),"")</x:f>
      </x:c>
      <x:c r="P446" s="13" t="str">
        <x:f>IF(COUNT(H446:I446)=2,SUM(H446:I446),"")</x:f>
      </x:c>
      <x:c r="Q446" s="13" t="str">
        <x:f>IF(AND(ISNUMBER(O446),COUNT(L446:N446)=3),O446+L446-M446-N446,"")</x:f>
      </x:c>
      <x:c r="R446" s="13" t="str">
        <x:f>IF(AND(A446&lt;&gt;"",B446&lt;&gt;"",ISNUMBER(P446),ISNUMBER(Q446)),P446-Q446,"")</x:f>
      </x:c>
      <x:c r="S446" s="13" t="str">
        <x:f>IF(COUNT(H446,J446)=2,J446-H446,"")</x:f>
      </x:c>
      <x:c r="T446" s="13" t="str">
        <x:f>IF(COUNT(I446,K446)=2,K446-I446,"")</x:f>
      </x:c>
      <x:c r="U446" s="10" t="str">
        <x:f>IF(NOT(OR(A446&lt;&gt;"",B446&lt;&gt;"",COUNT(D446:N446)&gt;0)),"",IF(OR(A446="",B446="",COUNT(D446:E446,H446:I446,L446:N446)&lt;&gt;7),"ناقص",IF(OR(MIN(D446:E446,H446:I446,L446:N446)&lt;0,Q446&lt;0),"ورودی نامعتبر",IF(R446&lt;0,"کسری",IF(R446&gt;0,"اضافه","بدون مغایرت")))))</x:f>
      </x:c>
      <x:c r="V446" s="10" t="str">
        <x:f>IF(OR(A446="",B446=""),"",IF(COUNTIFS($A$8:$A$507,A446,$B$8:$B$507,B446)&gt;1,"ثبت تکراری",""))</x:f>
      </x:c>
      <x:c r="W446" s="9"/>
    </x:row>
    <x:row r="447" ht="25" customHeight="1">
      <x:c r="A447" s="11"/>
      <x:c r="B447" s="11"/>
      <x:c r="C447" s="11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3" t="str">
        <x:f>IF(COUNT(D447:E447)=2,SUM(D447:E447),"")</x:f>
      </x:c>
      <x:c r="P447" s="13" t="str">
        <x:f>IF(COUNT(H447:I447)=2,SUM(H447:I447),"")</x:f>
      </x:c>
      <x:c r="Q447" s="13" t="str">
        <x:f>IF(AND(ISNUMBER(O447),COUNT(L447:N447)=3),O447+L447-M447-N447,"")</x:f>
      </x:c>
      <x:c r="R447" s="13" t="str">
        <x:f>IF(AND(A447&lt;&gt;"",B447&lt;&gt;"",ISNUMBER(P447),ISNUMBER(Q447)),P447-Q447,"")</x:f>
      </x:c>
      <x:c r="S447" s="13" t="str">
        <x:f>IF(COUNT(H447,J447)=2,J447-H447,"")</x:f>
      </x:c>
      <x:c r="T447" s="13" t="str">
        <x:f>IF(COUNT(I447,K447)=2,K447-I447,"")</x:f>
      </x:c>
      <x:c r="U447" s="10" t="str">
        <x:f>IF(NOT(OR(A447&lt;&gt;"",B447&lt;&gt;"",COUNT(D447:N447)&gt;0)),"",IF(OR(A447="",B447="",COUNT(D447:E447,H447:I447,L447:N447)&lt;&gt;7),"ناقص",IF(OR(MIN(D447:E447,H447:I447,L447:N447)&lt;0,Q447&lt;0),"ورودی نامعتبر",IF(R447&lt;0,"کسری",IF(R447&gt;0,"اضافه","بدون مغایرت")))))</x:f>
      </x:c>
      <x:c r="V447" s="10" t="str">
        <x:f>IF(OR(A447="",B447=""),"",IF(COUNTIFS($A$8:$A$507,A447,$B$8:$B$507,B447)&gt;1,"ثبت تکراری",""))</x:f>
      </x:c>
      <x:c r="W447" s="9"/>
    </x:row>
    <x:row r="448" ht="25" customHeight="1">
      <x:c r="A448" s="11"/>
      <x:c r="B448" s="11"/>
      <x:c r="C448" s="11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3" t="str">
        <x:f>IF(COUNT(D448:E448)=2,SUM(D448:E448),"")</x:f>
      </x:c>
      <x:c r="P448" s="13" t="str">
        <x:f>IF(COUNT(H448:I448)=2,SUM(H448:I448),"")</x:f>
      </x:c>
      <x:c r="Q448" s="13" t="str">
        <x:f>IF(AND(ISNUMBER(O448),COUNT(L448:N448)=3),O448+L448-M448-N448,"")</x:f>
      </x:c>
      <x:c r="R448" s="13" t="str">
        <x:f>IF(AND(A448&lt;&gt;"",B448&lt;&gt;"",ISNUMBER(P448),ISNUMBER(Q448)),P448-Q448,"")</x:f>
      </x:c>
      <x:c r="S448" s="13" t="str">
        <x:f>IF(COUNT(H448,J448)=2,J448-H448,"")</x:f>
      </x:c>
      <x:c r="T448" s="13" t="str">
        <x:f>IF(COUNT(I448,K448)=2,K448-I448,"")</x:f>
      </x:c>
      <x:c r="U448" s="10" t="str">
        <x:f>IF(NOT(OR(A448&lt;&gt;"",B448&lt;&gt;"",COUNT(D448:N448)&gt;0)),"",IF(OR(A448="",B448="",COUNT(D448:E448,H448:I448,L448:N448)&lt;&gt;7),"ناقص",IF(OR(MIN(D448:E448,H448:I448,L448:N448)&lt;0,Q448&lt;0),"ورودی نامعتبر",IF(R448&lt;0,"کسری",IF(R448&gt;0,"اضافه","بدون مغایرت")))))</x:f>
      </x:c>
      <x:c r="V448" s="10" t="str">
        <x:f>IF(OR(A448="",B448=""),"",IF(COUNTIFS($A$8:$A$507,A448,$B$8:$B$507,B448)&gt;1,"ثبت تکراری",""))</x:f>
      </x:c>
      <x:c r="W448" s="9"/>
    </x:row>
    <x:row r="449" ht="25" customHeight="1">
      <x:c r="A449" s="11"/>
      <x:c r="B449" s="11"/>
      <x:c r="C449" s="11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3" t="str">
        <x:f>IF(COUNT(D449:E449)=2,SUM(D449:E449),"")</x:f>
      </x:c>
      <x:c r="P449" s="13" t="str">
        <x:f>IF(COUNT(H449:I449)=2,SUM(H449:I449),"")</x:f>
      </x:c>
      <x:c r="Q449" s="13" t="str">
        <x:f>IF(AND(ISNUMBER(O449),COUNT(L449:N449)=3),O449+L449-M449-N449,"")</x:f>
      </x:c>
      <x:c r="R449" s="13" t="str">
        <x:f>IF(AND(A449&lt;&gt;"",B449&lt;&gt;"",ISNUMBER(P449),ISNUMBER(Q449)),P449-Q449,"")</x:f>
      </x:c>
      <x:c r="S449" s="13" t="str">
        <x:f>IF(COUNT(H449,J449)=2,J449-H449,"")</x:f>
      </x:c>
      <x:c r="T449" s="13" t="str">
        <x:f>IF(COUNT(I449,K449)=2,K449-I449,"")</x:f>
      </x:c>
      <x:c r="U449" s="10" t="str">
        <x:f>IF(NOT(OR(A449&lt;&gt;"",B449&lt;&gt;"",COUNT(D449:N449)&gt;0)),"",IF(OR(A449="",B449="",COUNT(D449:E449,H449:I449,L449:N449)&lt;&gt;7),"ناقص",IF(OR(MIN(D449:E449,H449:I449,L449:N449)&lt;0,Q449&lt;0),"ورودی نامعتبر",IF(R449&lt;0,"کسری",IF(R449&gt;0,"اضافه","بدون مغایرت")))))</x:f>
      </x:c>
      <x:c r="V449" s="10" t="str">
        <x:f>IF(OR(A449="",B449=""),"",IF(COUNTIFS($A$8:$A$507,A449,$B$8:$B$507,B449)&gt;1,"ثبت تکراری",""))</x:f>
      </x:c>
      <x:c r="W449" s="9"/>
    </x:row>
    <x:row r="450" ht="25" customHeight="1">
      <x:c r="A450" s="11"/>
      <x:c r="B450" s="11"/>
      <x:c r="C450" s="11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3" t="str">
        <x:f>IF(COUNT(D450:E450)=2,SUM(D450:E450),"")</x:f>
      </x:c>
      <x:c r="P450" s="13" t="str">
        <x:f>IF(COUNT(H450:I450)=2,SUM(H450:I450),"")</x:f>
      </x:c>
      <x:c r="Q450" s="13" t="str">
        <x:f>IF(AND(ISNUMBER(O450),COUNT(L450:N450)=3),O450+L450-M450-N450,"")</x:f>
      </x:c>
      <x:c r="R450" s="13" t="str">
        <x:f>IF(AND(A450&lt;&gt;"",B450&lt;&gt;"",ISNUMBER(P450),ISNUMBER(Q450)),P450-Q450,"")</x:f>
      </x:c>
      <x:c r="S450" s="13" t="str">
        <x:f>IF(COUNT(H450,J450)=2,J450-H450,"")</x:f>
      </x:c>
      <x:c r="T450" s="13" t="str">
        <x:f>IF(COUNT(I450,K450)=2,K450-I450,"")</x:f>
      </x:c>
      <x:c r="U450" s="10" t="str">
        <x:f>IF(NOT(OR(A450&lt;&gt;"",B450&lt;&gt;"",COUNT(D450:N450)&gt;0)),"",IF(OR(A450="",B450="",COUNT(D450:E450,H450:I450,L450:N450)&lt;&gt;7),"ناقص",IF(OR(MIN(D450:E450,H450:I450,L450:N450)&lt;0,Q450&lt;0),"ورودی نامعتبر",IF(R450&lt;0,"کسری",IF(R450&gt;0,"اضافه","بدون مغایرت")))))</x:f>
      </x:c>
      <x:c r="V450" s="10" t="str">
        <x:f>IF(OR(A450="",B450=""),"",IF(COUNTIFS($A$8:$A$507,A450,$B$8:$B$507,B450)&gt;1,"ثبت تکراری",""))</x:f>
      </x:c>
      <x:c r="W450" s="9"/>
    </x:row>
    <x:row r="451" ht="25" customHeight="1">
      <x:c r="A451" s="11"/>
      <x:c r="B451" s="11"/>
      <x:c r="C451" s="11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3" t="str">
        <x:f>IF(COUNT(D451:E451)=2,SUM(D451:E451),"")</x:f>
      </x:c>
      <x:c r="P451" s="13" t="str">
        <x:f>IF(COUNT(H451:I451)=2,SUM(H451:I451),"")</x:f>
      </x:c>
      <x:c r="Q451" s="13" t="str">
        <x:f>IF(AND(ISNUMBER(O451),COUNT(L451:N451)=3),O451+L451-M451-N451,"")</x:f>
      </x:c>
      <x:c r="R451" s="13" t="str">
        <x:f>IF(AND(A451&lt;&gt;"",B451&lt;&gt;"",ISNUMBER(P451),ISNUMBER(Q451)),P451-Q451,"")</x:f>
      </x:c>
      <x:c r="S451" s="13" t="str">
        <x:f>IF(COUNT(H451,J451)=2,J451-H451,"")</x:f>
      </x:c>
      <x:c r="T451" s="13" t="str">
        <x:f>IF(COUNT(I451,K451)=2,K451-I451,"")</x:f>
      </x:c>
      <x:c r="U451" s="10" t="str">
        <x:f>IF(NOT(OR(A451&lt;&gt;"",B451&lt;&gt;"",COUNT(D451:N451)&gt;0)),"",IF(OR(A451="",B451="",COUNT(D451:E451,H451:I451,L451:N451)&lt;&gt;7),"ناقص",IF(OR(MIN(D451:E451,H451:I451,L451:N451)&lt;0,Q451&lt;0),"ورودی نامعتبر",IF(R451&lt;0,"کسری",IF(R451&gt;0,"اضافه","بدون مغایرت")))))</x:f>
      </x:c>
      <x:c r="V451" s="10" t="str">
        <x:f>IF(OR(A451="",B451=""),"",IF(COUNTIFS($A$8:$A$507,A451,$B$8:$B$507,B451)&gt;1,"ثبت تکراری",""))</x:f>
      </x:c>
      <x:c r="W451" s="9"/>
    </x:row>
    <x:row r="452" ht="25" customHeight="1">
      <x:c r="A452" s="11"/>
      <x:c r="B452" s="11"/>
      <x:c r="C452" s="11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3" t="str">
        <x:f>IF(COUNT(D452:E452)=2,SUM(D452:E452),"")</x:f>
      </x:c>
      <x:c r="P452" s="13" t="str">
        <x:f>IF(COUNT(H452:I452)=2,SUM(H452:I452),"")</x:f>
      </x:c>
      <x:c r="Q452" s="13" t="str">
        <x:f>IF(AND(ISNUMBER(O452),COUNT(L452:N452)=3),O452+L452-M452-N452,"")</x:f>
      </x:c>
      <x:c r="R452" s="13" t="str">
        <x:f>IF(AND(A452&lt;&gt;"",B452&lt;&gt;"",ISNUMBER(P452),ISNUMBER(Q452)),P452-Q452,"")</x:f>
      </x:c>
      <x:c r="S452" s="13" t="str">
        <x:f>IF(COUNT(H452,J452)=2,J452-H452,"")</x:f>
      </x:c>
      <x:c r="T452" s="13" t="str">
        <x:f>IF(COUNT(I452,K452)=2,K452-I452,"")</x:f>
      </x:c>
      <x:c r="U452" s="10" t="str">
        <x:f>IF(NOT(OR(A452&lt;&gt;"",B452&lt;&gt;"",COUNT(D452:N452)&gt;0)),"",IF(OR(A452="",B452="",COUNT(D452:E452,H452:I452,L452:N452)&lt;&gt;7),"ناقص",IF(OR(MIN(D452:E452,H452:I452,L452:N452)&lt;0,Q452&lt;0),"ورودی نامعتبر",IF(R452&lt;0,"کسری",IF(R452&gt;0,"اضافه","بدون مغایرت")))))</x:f>
      </x:c>
      <x:c r="V452" s="10" t="str">
        <x:f>IF(OR(A452="",B452=""),"",IF(COUNTIFS($A$8:$A$507,A452,$B$8:$B$507,B452)&gt;1,"ثبت تکراری",""))</x:f>
      </x:c>
      <x:c r="W452" s="9"/>
    </x:row>
    <x:row r="453" ht="25" customHeight="1">
      <x:c r="A453" s="11"/>
      <x:c r="B453" s="11"/>
      <x:c r="C453" s="11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3" t="str">
        <x:f>IF(COUNT(D453:E453)=2,SUM(D453:E453),"")</x:f>
      </x:c>
      <x:c r="P453" s="13" t="str">
        <x:f>IF(COUNT(H453:I453)=2,SUM(H453:I453),"")</x:f>
      </x:c>
      <x:c r="Q453" s="13" t="str">
        <x:f>IF(AND(ISNUMBER(O453),COUNT(L453:N453)=3),O453+L453-M453-N453,"")</x:f>
      </x:c>
      <x:c r="R453" s="13" t="str">
        <x:f>IF(AND(A453&lt;&gt;"",B453&lt;&gt;"",ISNUMBER(P453),ISNUMBER(Q453)),P453-Q453,"")</x:f>
      </x:c>
      <x:c r="S453" s="13" t="str">
        <x:f>IF(COUNT(H453,J453)=2,J453-H453,"")</x:f>
      </x:c>
      <x:c r="T453" s="13" t="str">
        <x:f>IF(COUNT(I453,K453)=2,K453-I453,"")</x:f>
      </x:c>
      <x:c r="U453" s="10" t="str">
        <x:f>IF(NOT(OR(A453&lt;&gt;"",B453&lt;&gt;"",COUNT(D453:N453)&gt;0)),"",IF(OR(A453="",B453="",COUNT(D453:E453,H453:I453,L453:N453)&lt;&gt;7),"ناقص",IF(OR(MIN(D453:E453,H453:I453,L453:N453)&lt;0,Q453&lt;0),"ورودی نامعتبر",IF(R453&lt;0,"کسری",IF(R453&gt;0,"اضافه","بدون مغایرت")))))</x:f>
      </x:c>
      <x:c r="V453" s="10" t="str">
        <x:f>IF(OR(A453="",B453=""),"",IF(COUNTIFS($A$8:$A$507,A453,$B$8:$B$507,B453)&gt;1,"ثبت تکراری",""))</x:f>
      </x:c>
      <x:c r="W453" s="9"/>
    </x:row>
    <x:row r="454" ht="25" customHeight="1">
      <x:c r="A454" s="11"/>
      <x:c r="B454" s="11"/>
      <x:c r="C454" s="11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3" t="str">
        <x:f>IF(COUNT(D454:E454)=2,SUM(D454:E454),"")</x:f>
      </x:c>
      <x:c r="P454" s="13" t="str">
        <x:f>IF(COUNT(H454:I454)=2,SUM(H454:I454),"")</x:f>
      </x:c>
      <x:c r="Q454" s="13" t="str">
        <x:f>IF(AND(ISNUMBER(O454),COUNT(L454:N454)=3),O454+L454-M454-N454,"")</x:f>
      </x:c>
      <x:c r="R454" s="13" t="str">
        <x:f>IF(AND(A454&lt;&gt;"",B454&lt;&gt;"",ISNUMBER(P454),ISNUMBER(Q454)),P454-Q454,"")</x:f>
      </x:c>
      <x:c r="S454" s="13" t="str">
        <x:f>IF(COUNT(H454,J454)=2,J454-H454,"")</x:f>
      </x:c>
      <x:c r="T454" s="13" t="str">
        <x:f>IF(COUNT(I454,K454)=2,K454-I454,"")</x:f>
      </x:c>
      <x:c r="U454" s="10" t="str">
        <x:f>IF(NOT(OR(A454&lt;&gt;"",B454&lt;&gt;"",COUNT(D454:N454)&gt;0)),"",IF(OR(A454="",B454="",COUNT(D454:E454,H454:I454,L454:N454)&lt;&gt;7),"ناقص",IF(OR(MIN(D454:E454,H454:I454,L454:N454)&lt;0,Q454&lt;0),"ورودی نامعتبر",IF(R454&lt;0,"کسری",IF(R454&gt;0,"اضافه","بدون مغایرت")))))</x:f>
      </x:c>
      <x:c r="V454" s="10" t="str">
        <x:f>IF(OR(A454="",B454=""),"",IF(COUNTIFS($A$8:$A$507,A454,$B$8:$B$507,B454)&gt;1,"ثبت تکراری",""))</x:f>
      </x:c>
      <x:c r="W454" s="9"/>
    </x:row>
    <x:row r="455" ht="25" customHeight="1">
      <x:c r="A455" s="11"/>
      <x:c r="B455" s="11"/>
      <x:c r="C455" s="11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3" t="str">
        <x:f>IF(COUNT(D455:E455)=2,SUM(D455:E455),"")</x:f>
      </x:c>
      <x:c r="P455" s="13" t="str">
        <x:f>IF(COUNT(H455:I455)=2,SUM(H455:I455),"")</x:f>
      </x:c>
      <x:c r="Q455" s="13" t="str">
        <x:f>IF(AND(ISNUMBER(O455),COUNT(L455:N455)=3),O455+L455-M455-N455,"")</x:f>
      </x:c>
      <x:c r="R455" s="13" t="str">
        <x:f>IF(AND(A455&lt;&gt;"",B455&lt;&gt;"",ISNUMBER(P455),ISNUMBER(Q455)),P455-Q455,"")</x:f>
      </x:c>
      <x:c r="S455" s="13" t="str">
        <x:f>IF(COUNT(H455,J455)=2,J455-H455,"")</x:f>
      </x:c>
      <x:c r="T455" s="13" t="str">
        <x:f>IF(COUNT(I455,K455)=2,K455-I455,"")</x:f>
      </x:c>
      <x:c r="U455" s="10" t="str">
        <x:f>IF(NOT(OR(A455&lt;&gt;"",B455&lt;&gt;"",COUNT(D455:N455)&gt;0)),"",IF(OR(A455="",B455="",COUNT(D455:E455,H455:I455,L455:N455)&lt;&gt;7),"ناقص",IF(OR(MIN(D455:E455,H455:I455,L455:N455)&lt;0,Q455&lt;0),"ورودی نامعتبر",IF(R455&lt;0,"کسری",IF(R455&gt;0,"اضافه","بدون مغایرت")))))</x:f>
      </x:c>
      <x:c r="V455" s="10" t="str">
        <x:f>IF(OR(A455="",B455=""),"",IF(COUNTIFS($A$8:$A$507,A455,$B$8:$B$507,B455)&gt;1,"ثبت تکراری",""))</x:f>
      </x:c>
      <x:c r="W455" s="9"/>
    </x:row>
    <x:row r="456" ht="25" customHeight="1">
      <x:c r="A456" s="11"/>
      <x:c r="B456" s="11"/>
      <x:c r="C456" s="11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3" t="str">
        <x:f>IF(COUNT(D456:E456)=2,SUM(D456:E456),"")</x:f>
      </x:c>
      <x:c r="P456" s="13" t="str">
        <x:f>IF(COUNT(H456:I456)=2,SUM(H456:I456),"")</x:f>
      </x:c>
      <x:c r="Q456" s="13" t="str">
        <x:f>IF(AND(ISNUMBER(O456),COUNT(L456:N456)=3),O456+L456-M456-N456,"")</x:f>
      </x:c>
      <x:c r="R456" s="13" t="str">
        <x:f>IF(AND(A456&lt;&gt;"",B456&lt;&gt;"",ISNUMBER(P456),ISNUMBER(Q456)),P456-Q456,"")</x:f>
      </x:c>
      <x:c r="S456" s="13" t="str">
        <x:f>IF(COUNT(H456,J456)=2,J456-H456,"")</x:f>
      </x:c>
      <x:c r="T456" s="13" t="str">
        <x:f>IF(COUNT(I456,K456)=2,K456-I456,"")</x:f>
      </x:c>
      <x:c r="U456" s="10" t="str">
        <x:f>IF(NOT(OR(A456&lt;&gt;"",B456&lt;&gt;"",COUNT(D456:N456)&gt;0)),"",IF(OR(A456="",B456="",COUNT(D456:E456,H456:I456,L456:N456)&lt;&gt;7),"ناقص",IF(OR(MIN(D456:E456,H456:I456,L456:N456)&lt;0,Q456&lt;0),"ورودی نامعتبر",IF(R456&lt;0,"کسری",IF(R456&gt;0,"اضافه","بدون مغایرت")))))</x:f>
      </x:c>
      <x:c r="V456" s="10" t="str">
        <x:f>IF(OR(A456="",B456=""),"",IF(COUNTIFS($A$8:$A$507,A456,$B$8:$B$507,B456)&gt;1,"ثبت تکراری",""))</x:f>
      </x:c>
      <x:c r="W456" s="9"/>
    </x:row>
    <x:row r="457" ht="25" customHeight="1">
      <x:c r="A457" s="11"/>
      <x:c r="B457" s="11"/>
      <x:c r="C457" s="11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3" t="str">
        <x:f>IF(COUNT(D457:E457)=2,SUM(D457:E457),"")</x:f>
      </x:c>
      <x:c r="P457" s="13" t="str">
        <x:f>IF(COUNT(H457:I457)=2,SUM(H457:I457),"")</x:f>
      </x:c>
      <x:c r="Q457" s="13" t="str">
        <x:f>IF(AND(ISNUMBER(O457),COUNT(L457:N457)=3),O457+L457-M457-N457,"")</x:f>
      </x:c>
      <x:c r="R457" s="13" t="str">
        <x:f>IF(AND(A457&lt;&gt;"",B457&lt;&gt;"",ISNUMBER(P457),ISNUMBER(Q457)),P457-Q457,"")</x:f>
      </x:c>
      <x:c r="S457" s="13" t="str">
        <x:f>IF(COUNT(H457,J457)=2,J457-H457,"")</x:f>
      </x:c>
      <x:c r="T457" s="13" t="str">
        <x:f>IF(COUNT(I457,K457)=2,K457-I457,"")</x:f>
      </x:c>
      <x:c r="U457" s="10" t="str">
        <x:f>IF(NOT(OR(A457&lt;&gt;"",B457&lt;&gt;"",COUNT(D457:N457)&gt;0)),"",IF(OR(A457="",B457="",COUNT(D457:E457,H457:I457,L457:N457)&lt;&gt;7),"ناقص",IF(OR(MIN(D457:E457,H457:I457,L457:N457)&lt;0,Q457&lt;0),"ورودی نامعتبر",IF(R457&lt;0,"کسری",IF(R457&gt;0,"اضافه","بدون مغایرت")))))</x:f>
      </x:c>
      <x:c r="V457" s="10" t="str">
        <x:f>IF(OR(A457="",B457=""),"",IF(COUNTIFS($A$8:$A$507,A457,$B$8:$B$507,B457)&gt;1,"ثبت تکراری",""))</x:f>
      </x:c>
      <x:c r="W457" s="9"/>
    </x:row>
    <x:row r="458" ht="25" customHeight="1">
      <x:c r="A458" s="11"/>
      <x:c r="B458" s="11"/>
      <x:c r="C458" s="11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3" t="str">
        <x:f>IF(COUNT(D458:E458)=2,SUM(D458:E458),"")</x:f>
      </x:c>
      <x:c r="P458" s="13" t="str">
        <x:f>IF(COUNT(H458:I458)=2,SUM(H458:I458),"")</x:f>
      </x:c>
      <x:c r="Q458" s="13" t="str">
        <x:f>IF(AND(ISNUMBER(O458),COUNT(L458:N458)=3),O458+L458-M458-N458,"")</x:f>
      </x:c>
      <x:c r="R458" s="13" t="str">
        <x:f>IF(AND(A458&lt;&gt;"",B458&lt;&gt;"",ISNUMBER(P458),ISNUMBER(Q458)),P458-Q458,"")</x:f>
      </x:c>
      <x:c r="S458" s="13" t="str">
        <x:f>IF(COUNT(H458,J458)=2,J458-H458,"")</x:f>
      </x:c>
      <x:c r="T458" s="13" t="str">
        <x:f>IF(COUNT(I458,K458)=2,K458-I458,"")</x:f>
      </x:c>
      <x:c r="U458" s="10" t="str">
        <x:f>IF(NOT(OR(A458&lt;&gt;"",B458&lt;&gt;"",COUNT(D458:N458)&gt;0)),"",IF(OR(A458="",B458="",COUNT(D458:E458,H458:I458,L458:N458)&lt;&gt;7),"ناقص",IF(OR(MIN(D458:E458,H458:I458,L458:N458)&lt;0,Q458&lt;0),"ورودی نامعتبر",IF(R458&lt;0,"کسری",IF(R458&gt;0,"اضافه","بدون مغایرت")))))</x:f>
      </x:c>
      <x:c r="V458" s="10" t="str">
        <x:f>IF(OR(A458="",B458=""),"",IF(COUNTIFS($A$8:$A$507,A458,$B$8:$B$507,B458)&gt;1,"ثبت تکراری",""))</x:f>
      </x:c>
      <x:c r="W458" s="9"/>
    </x:row>
    <x:row r="459" ht="25" customHeight="1">
      <x:c r="A459" s="11"/>
      <x:c r="B459" s="11"/>
      <x:c r="C459" s="11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3" t="str">
        <x:f>IF(COUNT(D459:E459)=2,SUM(D459:E459),"")</x:f>
      </x:c>
      <x:c r="P459" s="13" t="str">
        <x:f>IF(COUNT(H459:I459)=2,SUM(H459:I459),"")</x:f>
      </x:c>
      <x:c r="Q459" s="13" t="str">
        <x:f>IF(AND(ISNUMBER(O459),COUNT(L459:N459)=3),O459+L459-M459-N459,"")</x:f>
      </x:c>
      <x:c r="R459" s="13" t="str">
        <x:f>IF(AND(A459&lt;&gt;"",B459&lt;&gt;"",ISNUMBER(P459),ISNUMBER(Q459)),P459-Q459,"")</x:f>
      </x:c>
      <x:c r="S459" s="13" t="str">
        <x:f>IF(COUNT(H459,J459)=2,J459-H459,"")</x:f>
      </x:c>
      <x:c r="T459" s="13" t="str">
        <x:f>IF(COUNT(I459,K459)=2,K459-I459,"")</x:f>
      </x:c>
      <x:c r="U459" s="10" t="str">
        <x:f>IF(NOT(OR(A459&lt;&gt;"",B459&lt;&gt;"",COUNT(D459:N459)&gt;0)),"",IF(OR(A459="",B459="",COUNT(D459:E459,H459:I459,L459:N459)&lt;&gt;7),"ناقص",IF(OR(MIN(D459:E459,H459:I459,L459:N459)&lt;0,Q459&lt;0),"ورودی نامعتبر",IF(R459&lt;0,"کسری",IF(R459&gt;0,"اضافه","بدون مغایرت")))))</x:f>
      </x:c>
      <x:c r="V459" s="10" t="str">
        <x:f>IF(OR(A459="",B459=""),"",IF(COUNTIFS($A$8:$A$507,A459,$B$8:$B$507,B459)&gt;1,"ثبت تکراری",""))</x:f>
      </x:c>
      <x:c r="W459" s="9"/>
    </x:row>
    <x:row r="460" ht="25" customHeight="1">
      <x:c r="A460" s="11"/>
      <x:c r="B460" s="11"/>
      <x:c r="C460" s="11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3" t="str">
        <x:f>IF(COUNT(D460:E460)=2,SUM(D460:E460),"")</x:f>
      </x:c>
      <x:c r="P460" s="13" t="str">
        <x:f>IF(COUNT(H460:I460)=2,SUM(H460:I460),"")</x:f>
      </x:c>
      <x:c r="Q460" s="13" t="str">
        <x:f>IF(AND(ISNUMBER(O460),COUNT(L460:N460)=3),O460+L460-M460-N460,"")</x:f>
      </x:c>
      <x:c r="R460" s="13" t="str">
        <x:f>IF(AND(A460&lt;&gt;"",B460&lt;&gt;"",ISNUMBER(P460),ISNUMBER(Q460)),P460-Q460,"")</x:f>
      </x:c>
      <x:c r="S460" s="13" t="str">
        <x:f>IF(COUNT(H460,J460)=2,J460-H460,"")</x:f>
      </x:c>
      <x:c r="T460" s="13" t="str">
        <x:f>IF(COUNT(I460,K460)=2,K460-I460,"")</x:f>
      </x:c>
      <x:c r="U460" s="10" t="str">
        <x:f>IF(NOT(OR(A460&lt;&gt;"",B460&lt;&gt;"",COUNT(D460:N460)&gt;0)),"",IF(OR(A460="",B460="",COUNT(D460:E460,H460:I460,L460:N460)&lt;&gt;7),"ناقص",IF(OR(MIN(D460:E460,H460:I460,L460:N460)&lt;0,Q460&lt;0),"ورودی نامعتبر",IF(R460&lt;0,"کسری",IF(R460&gt;0,"اضافه","بدون مغایرت")))))</x:f>
      </x:c>
      <x:c r="V460" s="10" t="str">
        <x:f>IF(OR(A460="",B460=""),"",IF(COUNTIFS($A$8:$A$507,A460,$B$8:$B$507,B460)&gt;1,"ثبت تکراری",""))</x:f>
      </x:c>
      <x:c r="W460" s="9"/>
    </x:row>
    <x:row r="461" ht="25" customHeight="1">
      <x:c r="A461" s="11"/>
      <x:c r="B461" s="11"/>
      <x:c r="C461" s="11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3" t="str">
        <x:f>IF(COUNT(D461:E461)=2,SUM(D461:E461),"")</x:f>
      </x:c>
      <x:c r="P461" s="13" t="str">
        <x:f>IF(COUNT(H461:I461)=2,SUM(H461:I461),"")</x:f>
      </x:c>
      <x:c r="Q461" s="13" t="str">
        <x:f>IF(AND(ISNUMBER(O461),COUNT(L461:N461)=3),O461+L461-M461-N461,"")</x:f>
      </x:c>
      <x:c r="R461" s="13" t="str">
        <x:f>IF(AND(A461&lt;&gt;"",B461&lt;&gt;"",ISNUMBER(P461),ISNUMBER(Q461)),P461-Q461,"")</x:f>
      </x:c>
      <x:c r="S461" s="13" t="str">
        <x:f>IF(COUNT(H461,J461)=2,J461-H461,"")</x:f>
      </x:c>
      <x:c r="T461" s="13" t="str">
        <x:f>IF(COUNT(I461,K461)=2,K461-I461,"")</x:f>
      </x:c>
      <x:c r="U461" s="10" t="str">
        <x:f>IF(NOT(OR(A461&lt;&gt;"",B461&lt;&gt;"",COUNT(D461:N461)&gt;0)),"",IF(OR(A461="",B461="",COUNT(D461:E461,H461:I461,L461:N461)&lt;&gt;7),"ناقص",IF(OR(MIN(D461:E461,H461:I461,L461:N461)&lt;0,Q461&lt;0),"ورودی نامعتبر",IF(R461&lt;0,"کسری",IF(R461&gt;0,"اضافه","بدون مغایرت")))))</x:f>
      </x:c>
      <x:c r="V461" s="10" t="str">
        <x:f>IF(OR(A461="",B461=""),"",IF(COUNTIFS($A$8:$A$507,A461,$B$8:$B$507,B461)&gt;1,"ثبت تکراری",""))</x:f>
      </x:c>
      <x:c r="W461" s="9"/>
    </x:row>
    <x:row r="462" ht="25" customHeight="1">
      <x:c r="A462" s="11"/>
      <x:c r="B462" s="11"/>
      <x:c r="C462" s="11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3" t="str">
        <x:f>IF(COUNT(D462:E462)=2,SUM(D462:E462),"")</x:f>
      </x:c>
      <x:c r="P462" s="13" t="str">
        <x:f>IF(COUNT(H462:I462)=2,SUM(H462:I462),"")</x:f>
      </x:c>
      <x:c r="Q462" s="13" t="str">
        <x:f>IF(AND(ISNUMBER(O462),COUNT(L462:N462)=3),O462+L462-M462-N462,"")</x:f>
      </x:c>
      <x:c r="R462" s="13" t="str">
        <x:f>IF(AND(A462&lt;&gt;"",B462&lt;&gt;"",ISNUMBER(P462),ISNUMBER(Q462)),P462-Q462,"")</x:f>
      </x:c>
      <x:c r="S462" s="13" t="str">
        <x:f>IF(COUNT(H462,J462)=2,J462-H462,"")</x:f>
      </x:c>
      <x:c r="T462" s="13" t="str">
        <x:f>IF(COUNT(I462,K462)=2,K462-I462,"")</x:f>
      </x:c>
      <x:c r="U462" s="10" t="str">
        <x:f>IF(NOT(OR(A462&lt;&gt;"",B462&lt;&gt;"",COUNT(D462:N462)&gt;0)),"",IF(OR(A462="",B462="",COUNT(D462:E462,H462:I462,L462:N462)&lt;&gt;7),"ناقص",IF(OR(MIN(D462:E462,H462:I462,L462:N462)&lt;0,Q462&lt;0),"ورودی نامعتبر",IF(R462&lt;0,"کسری",IF(R462&gt;0,"اضافه","بدون مغایرت")))))</x:f>
      </x:c>
      <x:c r="V462" s="10" t="str">
        <x:f>IF(OR(A462="",B462=""),"",IF(COUNTIFS($A$8:$A$507,A462,$B$8:$B$507,B462)&gt;1,"ثبت تکراری",""))</x:f>
      </x:c>
      <x:c r="W462" s="9"/>
    </x:row>
    <x:row r="463" ht="25" customHeight="1">
      <x:c r="A463" s="11"/>
      <x:c r="B463" s="11"/>
      <x:c r="C463" s="11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3" t="str">
        <x:f>IF(COUNT(D463:E463)=2,SUM(D463:E463),"")</x:f>
      </x:c>
      <x:c r="P463" s="13" t="str">
        <x:f>IF(COUNT(H463:I463)=2,SUM(H463:I463),"")</x:f>
      </x:c>
      <x:c r="Q463" s="13" t="str">
        <x:f>IF(AND(ISNUMBER(O463),COUNT(L463:N463)=3),O463+L463-M463-N463,"")</x:f>
      </x:c>
      <x:c r="R463" s="13" t="str">
        <x:f>IF(AND(A463&lt;&gt;"",B463&lt;&gt;"",ISNUMBER(P463),ISNUMBER(Q463)),P463-Q463,"")</x:f>
      </x:c>
      <x:c r="S463" s="13" t="str">
        <x:f>IF(COUNT(H463,J463)=2,J463-H463,"")</x:f>
      </x:c>
      <x:c r="T463" s="13" t="str">
        <x:f>IF(COUNT(I463,K463)=2,K463-I463,"")</x:f>
      </x:c>
      <x:c r="U463" s="10" t="str">
        <x:f>IF(NOT(OR(A463&lt;&gt;"",B463&lt;&gt;"",COUNT(D463:N463)&gt;0)),"",IF(OR(A463="",B463="",COUNT(D463:E463,H463:I463,L463:N463)&lt;&gt;7),"ناقص",IF(OR(MIN(D463:E463,H463:I463,L463:N463)&lt;0,Q463&lt;0),"ورودی نامعتبر",IF(R463&lt;0,"کسری",IF(R463&gt;0,"اضافه","بدون مغایرت")))))</x:f>
      </x:c>
      <x:c r="V463" s="10" t="str">
        <x:f>IF(OR(A463="",B463=""),"",IF(COUNTIFS($A$8:$A$507,A463,$B$8:$B$507,B463)&gt;1,"ثبت تکراری",""))</x:f>
      </x:c>
      <x:c r="W463" s="9"/>
    </x:row>
    <x:row r="464" ht="25" customHeight="1">
      <x:c r="A464" s="11"/>
      <x:c r="B464" s="11"/>
      <x:c r="C464" s="11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3" t="str">
        <x:f>IF(COUNT(D464:E464)=2,SUM(D464:E464),"")</x:f>
      </x:c>
      <x:c r="P464" s="13" t="str">
        <x:f>IF(COUNT(H464:I464)=2,SUM(H464:I464),"")</x:f>
      </x:c>
      <x:c r="Q464" s="13" t="str">
        <x:f>IF(AND(ISNUMBER(O464),COUNT(L464:N464)=3),O464+L464-M464-N464,"")</x:f>
      </x:c>
      <x:c r="R464" s="13" t="str">
        <x:f>IF(AND(A464&lt;&gt;"",B464&lt;&gt;"",ISNUMBER(P464),ISNUMBER(Q464)),P464-Q464,"")</x:f>
      </x:c>
      <x:c r="S464" s="13" t="str">
        <x:f>IF(COUNT(H464,J464)=2,J464-H464,"")</x:f>
      </x:c>
      <x:c r="T464" s="13" t="str">
        <x:f>IF(COUNT(I464,K464)=2,K464-I464,"")</x:f>
      </x:c>
      <x:c r="U464" s="10" t="str">
        <x:f>IF(NOT(OR(A464&lt;&gt;"",B464&lt;&gt;"",COUNT(D464:N464)&gt;0)),"",IF(OR(A464="",B464="",COUNT(D464:E464,H464:I464,L464:N464)&lt;&gt;7),"ناقص",IF(OR(MIN(D464:E464,H464:I464,L464:N464)&lt;0,Q464&lt;0),"ورودی نامعتبر",IF(R464&lt;0,"کسری",IF(R464&gt;0,"اضافه","بدون مغایرت")))))</x:f>
      </x:c>
      <x:c r="V464" s="10" t="str">
        <x:f>IF(OR(A464="",B464=""),"",IF(COUNTIFS($A$8:$A$507,A464,$B$8:$B$507,B464)&gt;1,"ثبت تکراری",""))</x:f>
      </x:c>
      <x:c r="W464" s="9"/>
    </x:row>
    <x:row r="465" ht="25" customHeight="1">
      <x:c r="A465" s="11"/>
      <x:c r="B465" s="11"/>
      <x:c r="C465" s="11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3" t="str">
        <x:f>IF(COUNT(D465:E465)=2,SUM(D465:E465),"")</x:f>
      </x:c>
      <x:c r="P465" s="13" t="str">
        <x:f>IF(COUNT(H465:I465)=2,SUM(H465:I465),"")</x:f>
      </x:c>
      <x:c r="Q465" s="13" t="str">
        <x:f>IF(AND(ISNUMBER(O465),COUNT(L465:N465)=3),O465+L465-M465-N465,"")</x:f>
      </x:c>
      <x:c r="R465" s="13" t="str">
        <x:f>IF(AND(A465&lt;&gt;"",B465&lt;&gt;"",ISNUMBER(P465),ISNUMBER(Q465)),P465-Q465,"")</x:f>
      </x:c>
      <x:c r="S465" s="13" t="str">
        <x:f>IF(COUNT(H465,J465)=2,J465-H465,"")</x:f>
      </x:c>
      <x:c r="T465" s="13" t="str">
        <x:f>IF(COUNT(I465,K465)=2,K465-I465,"")</x:f>
      </x:c>
      <x:c r="U465" s="10" t="str">
        <x:f>IF(NOT(OR(A465&lt;&gt;"",B465&lt;&gt;"",COUNT(D465:N465)&gt;0)),"",IF(OR(A465="",B465="",COUNT(D465:E465,H465:I465,L465:N465)&lt;&gt;7),"ناقص",IF(OR(MIN(D465:E465,H465:I465,L465:N465)&lt;0,Q465&lt;0),"ورودی نامعتبر",IF(R465&lt;0,"کسری",IF(R465&gt;0,"اضافه","بدون مغایرت")))))</x:f>
      </x:c>
      <x:c r="V465" s="10" t="str">
        <x:f>IF(OR(A465="",B465=""),"",IF(COUNTIFS($A$8:$A$507,A465,$B$8:$B$507,B465)&gt;1,"ثبت تکراری",""))</x:f>
      </x:c>
      <x:c r="W465" s="9"/>
    </x:row>
    <x:row r="466" ht="25" customHeight="1">
      <x:c r="A466" s="11"/>
      <x:c r="B466" s="11"/>
      <x:c r="C466" s="11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3" t="str">
        <x:f>IF(COUNT(D466:E466)=2,SUM(D466:E466),"")</x:f>
      </x:c>
      <x:c r="P466" s="13" t="str">
        <x:f>IF(COUNT(H466:I466)=2,SUM(H466:I466),"")</x:f>
      </x:c>
      <x:c r="Q466" s="13" t="str">
        <x:f>IF(AND(ISNUMBER(O466),COUNT(L466:N466)=3),O466+L466-M466-N466,"")</x:f>
      </x:c>
      <x:c r="R466" s="13" t="str">
        <x:f>IF(AND(A466&lt;&gt;"",B466&lt;&gt;"",ISNUMBER(P466),ISNUMBER(Q466)),P466-Q466,"")</x:f>
      </x:c>
      <x:c r="S466" s="13" t="str">
        <x:f>IF(COUNT(H466,J466)=2,J466-H466,"")</x:f>
      </x:c>
      <x:c r="T466" s="13" t="str">
        <x:f>IF(COUNT(I466,K466)=2,K466-I466,"")</x:f>
      </x:c>
      <x:c r="U466" s="10" t="str">
        <x:f>IF(NOT(OR(A466&lt;&gt;"",B466&lt;&gt;"",COUNT(D466:N466)&gt;0)),"",IF(OR(A466="",B466="",COUNT(D466:E466,H466:I466,L466:N466)&lt;&gt;7),"ناقص",IF(OR(MIN(D466:E466,H466:I466,L466:N466)&lt;0,Q466&lt;0),"ورودی نامعتبر",IF(R466&lt;0,"کسری",IF(R466&gt;0,"اضافه","بدون مغایرت")))))</x:f>
      </x:c>
      <x:c r="V466" s="10" t="str">
        <x:f>IF(OR(A466="",B466=""),"",IF(COUNTIFS($A$8:$A$507,A466,$B$8:$B$507,B466)&gt;1,"ثبت تکراری",""))</x:f>
      </x:c>
      <x:c r="W466" s="9"/>
    </x:row>
    <x:row r="467" ht="25" customHeight="1">
      <x:c r="A467" s="11"/>
      <x:c r="B467" s="11"/>
      <x:c r="C467" s="11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3" t="str">
        <x:f>IF(COUNT(D467:E467)=2,SUM(D467:E467),"")</x:f>
      </x:c>
      <x:c r="P467" s="13" t="str">
        <x:f>IF(COUNT(H467:I467)=2,SUM(H467:I467),"")</x:f>
      </x:c>
      <x:c r="Q467" s="13" t="str">
        <x:f>IF(AND(ISNUMBER(O467),COUNT(L467:N467)=3),O467+L467-M467-N467,"")</x:f>
      </x:c>
      <x:c r="R467" s="13" t="str">
        <x:f>IF(AND(A467&lt;&gt;"",B467&lt;&gt;"",ISNUMBER(P467),ISNUMBER(Q467)),P467-Q467,"")</x:f>
      </x:c>
      <x:c r="S467" s="13" t="str">
        <x:f>IF(COUNT(H467,J467)=2,J467-H467,"")</x:f>
      </x:c>
      <x:c r="T467" s="13" t="str">
        <x:f>IF(COUNT(I467,K467)=2,K467-I467,"")</x:f>
      </x:c>
      <x:c r="U467" s="10" t="str">
        <x:f>IF(NOT(OR(A467&lt;&gt;"",B467&lt;&gt;"",COUNT(D467:N467)&gt;0)),"",IF(OR(A467="",B467="",COUNT(D467:E467,H467:I467,L467:N467)&lt;&gt;7),"ناقص",IF(OR(MIN(D467:E467,H467:I467,L467:N467)&lt;0,Q467&lt;0),"ورودی نامعتبر",IF(R467&lt;0,"کسری",IF(R467&gt;0,"اضافه","بدون مغایرت")))))</x:f>
      </x:c>
      <x:c r="V467" s="10" t="str">
        <x:f>IF(OR(A467="",B467=""),"",IF(COUNTIFS($A$8:$A$507,A467,$B$8:$B$507,B467)&gt;1,"ثبت تکراری",""))</x:f>
      </x:c>
      <x:c r="W467" s="9"/>
    </x:row>
    <x:row r="468" ht="25" customHeight="1">
      <x:c r="A468" s="11"/>
      <x:c r="B468" s="11"/>
      <x:c r="C468" s="11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3" t="str">
        <x:f>IF(COUNT(D468:E468)=2,SUM(D468:E468),"")</x:f>
      </x:c>
      <x:c r="P468" s="13" t="str">
        <x:f>IF(COUNT(H468:I468)=2,SUM(H468:I468),"")</x:f>
      </x:c>
      <x:c r="Q468" s="13" t="str">
        <x:f>IF(AND(ISNUMBER(O468),COUNT(L468:N468)=3),O468+L468-M468-N468,"")</x:f>
      </x:c>
      <x:c r="R468" s="13" t="str">
        <x:f>IF(AND(A468&lt;&gt;"",B468&lt;&gt;"",ISNUMBER(P468),ISNUMBER(Q468)),P468-Q468,"")</x:f>
      </x:c>
      <x:c r="S468" s="13" t="str">
        <x:f>IF(COUNT(H468,J468)=2,J468-H468,"")</x:f>
      </x:c>
      <x:c r="T468" s="13" t="str">
        <x:f>IF(COUNT(I468,K468)=2,K468-I468,"")</x:f>
      </x:c>
      <x:c r="U468" s="10" t="str">
        <x:f>IF(NOT(OR(A468&lt;&gt;"",B468&lt;&gt;"",COUNT(D468:N468)&gt;0)),"",IF(OR(A468="",B468="",COUNT(D468:E468,H468:I468,L468:N468)&lt;&gt;7),"ناقص",IF(OR(MIN(D468:E468,H468:I468,L468:N468)&lt;0,Q468&lt;0),"ورودی نامعتبر",IF(R468&lt;0,"کسری",IF(R468&gt;0,"اضافه","بدون مغایرت")))))</x:f>
      </x:c>
      <x:c r="V468" s="10" t="str">
        <x:f>IF(OR(A468="",B468=""),"",IF(COUNTIFS($A$8:$A$507,A468,$B$8:$B$507,B468)&gt;1,"ثبت تکراری",""))</x:f>
      </x:c>
      <x:c r="W468" s="9"/>
    </x:row>
    <x:row r="469" ht="25" customHeight="1">
      <x:c r="A469" s="11"/>
      <x:c r="B469" s="11"/>
      <x:c r="C469" s="11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3" t="str">
        <x:f>IF(COUNT(D469:E469)=2,SUM(D469:E469),"")</x:f>
      </x:c>
      <x:c r="P469" s="13" t="str">
        <x:f>IF(COUNT(H469:I469)=2,SUM(H469:I469),"")</x:f>
      </x:c>
      <x:c r="Q469" s="13" t="str">
        <x:f>IF(AND(ISNUMBER(O469),COUNT(L469:N469)=3),O469+L469-M469-N469,"")</x:f>
      </x:c>
      <x:c r="R469" s="13" t="str">
        <x:f>IF(AND(A469&lt;&gt;"",B469&lt;&gt;"",ISNUMBER(P469),ISNUMBER(Q469)),P469-Q469,"")</x:f>
      </x:c>
      <x:c r="S469" s="13" t="str">
        <x:f>IF(COUNT(H469,J469)=2,J469-H469,"")</x:f>
      </x:c>
      <x:c r="T469" s="13" t="str">
        <x:f>IF(COUNT(I469,K469)=2,K469-I469,"")</x:f>
      </x:c>
      <x:c r="U469" s="10" t="str">
        <x:f>IF(NOT(OR(A469&lt;&gt;"",B469&lt;&gt;"",COUNT(D469:N469)&gt;0)),"",IF(OR(A469="",B469="",COUNT(D469:E469,H469:I469,L469:N469)&lt;&gt;7),"ناقص",IF(OR(MIN(D469:E469,H469:I469,L469:N469)&lt;0,Q469&lt;0),"ورودی نامعتبر",IF(R469&lt;0,"کسری",IF(R469&gt;0,"اضافه","بدون مغایرت")))))</x:f>
      </x:c>
      <x:c r="V469" s="10" t="str">
        <x:f>IF(OR(A469="",B469=""),"",IF(COUNTIFS($A$8:$A$507,A469,$B$8:$B$507,B469)&gt;1,"ثبت تکراری",""))</x:f>
      </x:c>
      <x:c r="W469" s="9"/>
    </x:row>
    <x:row r="470" ht="25" customHeight="1">
      <x:c r="A470" s="11"/>
      <x:c r="B470" s="11"/>
      <x:c r="C470" s="11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3" t="str">
        <x:f>IF(COUNT(D470:E470)=2,SUM(D470:E470),"")</x:f>
      </x:c>
      <x:c r="P470" s="13" t="str">
        <x:f>IF(COUNT(H470:I470)=2,SUM(H470:I470),"")</x:f>
      </x:c>
      <x:c r="Q470" s="13" t="str">
        <x:f>IF(AND(ISNUMBER(O470),COUNT(L470:N470)=3),O470+L470-M470-N470,"")</x:f>
      </x:c>
      <x:c r="R470" s="13" t="str">
        <x:f>IF(AND(A470&lt;&gt;"",B470&lt;&gt;"",ISNUMBER(P470),ISNUMBER(Q470)),P470-Q470,"")</x:f>
      </x:c>
      <x:c r="S470" s="13" t="str">
        <x:f>IF(COUNT(H470,J470)=2,J470-H470,"")</x:f>
      </x:c>
      <x:c r="T470" s="13" t="str">
        <x:f>IF(COUNT(I470,K470)=2,K470-I470,"")</x:f>
      </x:c>
      <x:c r="U470" s="10" t="str">
        <x:f>IF(NOT(OR(A470&lt;&gt;"",B470&lt;&gt;"",COUNT(D470:N470)&gt;0)),"",IF(OR(A470="",B470="",COUNT(D470:E470,H470:I470,L470:N470)&lt;&gt;7),"ناقص",IF(OR(MIN(D470:E470,H470:I470,L470:N470)&lt;0,Q470&lt;0),"ورودی نامعتبر",IF(R470&lt;0,"کسری",IF(R470&gt;0,"اضافه","بدون مغایرت")))))</x:f>
      </x:c>
      <x:c r="V470" s="10" t="str">
        <x:f>IF(OR(A470="",B470=""),"",IF(COUNTIFS($A$8:$A$507,A470,$B$8:$B$507,B470)&gt;1,"ثبت تکراری",""))</x:f>
      </x:c>
      <x:c r="W470" s="9"/>
    </x:row>
    <x:row r="471" ht="25" customHeight="1">
      <x:c r="A471" s="11"/>
      <x:c r="B471" s="11"/>
      <x:c r="C471" s="11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3" t="str">
        <x:f>IF(COUNT(D471:E471)=2,SUM(D471:E471),"")</x:f>
      </x:c>
      <x:c r="P471" s="13" t="str">
        <x:f>IF(COUNT(H471:I471)=2,SUM(H471:I471),"")</x:f>
      </x:c>
      <x:c r="Q471" s="13" t="str">
        <x:f>IF(AND(ISNUMBER(O471),COUNT(L471:N471)=3),O471+L471-M471-N471,"")</x:f>
      </x:c>
      <x:c r="R471" s="13" t="str">
        <x:f>IF(AND(A471&lt;&gt;"",B471&lt;&gt;"",ISNUMBER(P471),ISNUMBER(Q471)),P471-Q471,"")</x:f>
      </x:c>
      <x:c r="S471" s="13" t="str">
        <x:f>IF(COUNT(H471,J471)=2,J471-H471,"")</x:f>
      </x:c>
      <x:c r="T471" s="13" t="str">
        <x:f>IF(COUNT(I471,K471)=2,K471-I471,"")</x:f>
      </x:c>
      <x:c r="U471" s="10" t="str">
        <x:f>IF(NOT(OR(A471&lt;&gt;"",B471&lt;&gt;"",COUNT(D471:N471)&gt;0)),"",IF(OR(A471="",B471="",COUNT(D471:E471,H471:I471,L471:N471)&lt;&gt;7),"ناقص",IF(OR(MIN(D471:E471,H471:I471,L471:N471)&lt;0,Q471&lt;0),"ورودی نامعتبر",IF(R471&lt;0,"کسری",IF(R471&gt;0,"اضافه","بدون مغایرت")))))</x:f>
      </x:c>
      <x:c r="V471" s="10" t="str">
        <x:f>IF(OR(A471="",B471=""),"",IF(COUNTIFS($A$8:$A$507,A471,$B$8:$B$507,B471)&gt;1,"ثبت تکراری",""))</x:f>
      </x:c>
      <x:c r="W471" s="9"/>
    </x:row>
    <x:row r="472" ht="25" customHeight="1">
      <x:c r="A472" s="11"/>
      <x:c r="B472" s="11"/>
      <x:c r="C472" s="11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3" t="str">
        <x:f>IF(COUNT(D472:E472)=2,SUM(D472:E472),"")</x:f>
      </x:c>
      <x:c r="P472" s="13" t="str">
        <x:f>IF(COUNT(H472:I472)=2,SUM(H472:I472),"")</x:f>
      </x:c>
      <x:c r="Q472" s="13" t="str">
        <x:f>IF(AND(ISNUMBER(O472),COUNT(L472:N472)=3),O472+L472-M472-N472,"")</x:f>
      </x:c>
      <x:c r="R472" s="13" t="str">
        <x:f>IF(AND(A472&lt;&gt;"",B472&lt;&gt;"",ISNUMBER(P472),ISNUMBER(Q472)),P472-Q472,"")</x:f>
      </x:c>
      <x:c r="S472" s="13" t="str">
        <x:f>IF(COUNT(H472,J472)=2,J472-H472,"")</x:f>
      </x:c>
      <x:c r="T472" s="13" t="str">
        <x:f>IF(COUNT(I472,K472)=2,K472-I472,"")</x:f>
      </x:c>
      <x:c r="U472" s="10" t="str">
        <x:f>IF(NOT(OR(A472&lt;&gt;"",B472&lt;&gt;"",COUNT(D472:N472)&gt;0)),"",IF(OR(A472="",B472="",COUNT(D472:E472,H472:I472,L472:N472)&lt;&gt;7),"ناقص",IF(OR(MIN(D472:E472,H472:I472,L472:N472)&lt;0,Q472&lt;0),"ورودی نامعتبر",IF(R472&lt;0,"کسری",IF(R472&gt;0,"اضافه","بدون مغایرت")))))</x:f>
      </x:c>
      <x:c r="V472" s="10" t="str">
        <x:f>IF(OR(A472="",B472=""),"",IF(COUNTIFS($A$8:$A$507,A472,$B$8:$B$507,B472)&gt;1,"ثبت تکراری",""))</x:f>
      </x:c>
      <x:c r="W472" s="9"/>
    </x:row>
    <x:row r="473" ht="25" customHeight="1">
      <x:c r="A473" s="11"/>
      <x:c r="B473" s="11"/>
      <x:c r="C473" s="11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3" t="str">
        <x:f>IF(COUNT(D473:E473)=2,SUM(D473:E473),"")</x:f>
      </x:c>
      <x:c r="P473" s="13" t="str">
        <x:f>IF(COUNT(H473:I473)=2,SUM(H473:I473),"")</x:f>
      </x:c>
      <x:c r="Q473" s="13" t="str">
        <x:f>IF(AND(ISNUMBER(O473),COUNT(L473:N473)=3),O473+L473-M473-N473,"")</x:f>
      </x:c>
      <x:c r="R473" s="13" t="str">
        <x:f>IF(AND(A473&lt;&gt;"",B473&lt;&gt;"",ISNUMBER(P473),ISNUMBER(Q473)),P473-Q473,"")</x:f>
      </x:c>
      <x:c r="S473" s="13" t="str">
        <x:f>IF(COUNT(H473,J473)=2,J473-H473,"")</x:f>
      </x:c>
      <x:c r="T473" s="13" t="str">
        <x:f>IF(COUNT(I473,K473)=2,K473-I473,"")</x:f>
      </x:c>
      <x:c r="U473" s="10" t="str">
        <x:f>IF(NOT(OR(A473&lt;&gt;"",B473&lt;&gt;"",COUNT(D473:N473)&gt;0)),"",IF(OR(A473="",B473="",COUNT(D473:E473,H473:I473,L473:N473)&lt;&gt;7),"ناقص",IF(OR(MIN(D473:E473,H473:I473,L473:N473)&lt;0,Q473&lt;0),"ورودی نامعتبر",IF(R473&lt;0,"کسری",IF(R473&gt;0,"اضافه","بدون مغایرت")))))</x:f>
      </x:c>
      <x:c r="V473" s="10" t="str">
        <x:f>IF(OR(A473="",B473=""),"",IF(COUNTIFS($A$8:$A$507,A473,$B$8:$B$507,B473)&gt;1,"ثبت تکراری",""))</x:f>
      </x:c>
      <x:c r="W473" s="9"/>
    </x:row>
    <x:row r="474" ht="25" customHeight="1">
      <x:c r="A474" s="11"/>
      <x:c r="B474" s="11"/>
      <x:c r="C474" s="11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3" t="str">
        <x:f>IF(COUNT(D474:E474)=2,SUM(D474:E474),"")</x:f>
      </x:c>
      <x:c r="P474" s="13" t="str">
        <x:f>IF(COUNT(H474:I474)=2,SUM(H474:I474),"")</x:f>
      </x:c>
      <x:c r="Q474" s="13" t="str">
        <x:f>IF(AND(ISNUMBER(O474),COUNT(L474:N474)=3),O474+L474-M474-N474,"")</x:f>
      </x:c>
      <x:c r="R474" s="13" t="str">
        <x:f>IF(AND(A474&lt;&gt;"",B474&lt;&gt;"",ISNUMBER(P474),ISNUMBER(Q474)),P474-Q474,"")</x:f>
      </x:c>
      <x:c r="S474" s="13" t="str">
        <x:f>IF(COUNT(H474,J474)=2,J474-H474,"")</x:f>
      </x:c>
      <x:c r="T474" s="13" t="str">
        <x:f>IF(COUNT(I474,K474)=2,K474-I474,"")</x:f>
      </x:c>
      <x:c r="U474" s="10" t="str">
        <x:f>IF(NOT(OR(A474&lt;&gt;"",B474&lt;&gt;"",COUNT(D474:N474)&gt;0)),"",IF(OR(A474="",B474="",COUNT(D474:E474,H474:I474,L474:N474)&lt;&gt;7),"ناقص",IF(OR(MIN(D474:E474,H474:I474,L474:N474)&lt;0,Q474&lt;0),"ورودی نامعتبر",IF(R474&lt;0,"کسری",IF(R474&gt;0,"اضافه","بدون مغایرت")))))</x:f>
      </x:c>
      <x:c r="V474" s="10" t="str">
        <x:f>IF(OR(A474="",B474=""),"",IF(COUNTIFS($A$8:$A$507,A474,$B$8:$B$507,B474)&gt;1,"ثبت تکراری",""))</x:f>
      </x:c>
      <x:c r="W474" s="9"/>
    </x:row>
    <x:row r="475" ht="25" customHeight="1">
      <x:c r="A475" s="11"/>
      <x:c r="B475" s="11"/>
      <x:c r="C475" s="11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3" t="str">
        <x:f>IF(COUNT(D475:E475)=2,SUM(D475:E475),"")</x:f>
      </x:c>
      <x:c r="P475" s="13" t="str">
        <x:f>IF(COUNT(H475:I475)=2,SUM(H475:I475),"")</x:f>
      </x:c>
      <x:c r="Q475" s="13" t="str">
        <x:f>IF(AND(ISNUMBER(O475),COUNT(L475:N475)=3),O475+L475-M475-N475,"")</x:f>
      </x:c>
      <x:c r="R475" s="13" t="str">
        <x:f>IF(AND(A475&lt;&gt;"",B475&lt;&gt;"",ISNUMBER(P475),ISNUMBER(Q475)),P475-Q475,"")</x:f>
      </x:c>
      <x:c r="S475" s="13" t="str">
        <x:f>IF(COUNT(H475,J475)=2,J475-H475,"")</x:f>
      </x:c>
      <x:c r="T475" s="13" t="str">
        <x:f>IF(COUNT(I475,K475)=2,K475-I475,"")</x:f>
      </x:c>
      <x:c r="U475" s="10" t="str">
        <x:f>IF(NOT(OR(A475&lt;&gt;"",B475&lt;&gt;"",COUNT(D475:N475)&gt;0)),"",IF(OR(A475="",B475="",COUNT(D475:E475,H475:I475,L475:N475)&lt;&gt;7),"ناقص",IF(OR(MIN(D475:E475,H475:I475,L475:N475)&lt;0,Q475&lt;0),"ورودی نامعتبر",IF(R475&lt;0,"کسری",IF(R475&gt;0,"اضافه","بدون مغایرت")))))</x:f>
      </x:c>
      <x:c r="V475" s="10" t="str">
        <x:f>IF(OR(A475="",B475=""),"",IF(COUNTIFS($A$8:$A$507,A475,$B$8:$B$507,B475)&gt;1,"ثبت تکراری",""))</x:f>
      </x:c>
      <x:c r="W475" s="9"/>
    </x:row>
    <x:row r="476" ht="25" customHeight="1">
      <x:c r="A476" s="11"/>
      <x:c r="B476" s="11"/>
      <x:c r="C476" s="11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3" t="str">
        <x:f>IF(COUNT(D476:E476)=2,SUM(D476:E476),"")</x:f>
      </x:c>
      <x:c r="P476" s="13" t="str">
        <x:f>IF(COUNT(H476:I476)=2,SUM(H476:I476),"")</x:f>
      </x:c>
      <x:c r="Q476" s="13" t="str">
        <x:f>IF(AND(ISNUMBER(O476),COUNT(L476:N476)=3),O476+L476-M476-N476,"")</x:f>
      </x:c>
      <x:c r="R476" s="13" t="str">
        <x:f>IF(AND(A476&lt;&gt;"",B476&lt;&gt;"",ISNUMBER(P476),ISNUMBER(Q476)),P476-Q476,"")</x:f>
      </x:c>
      <x:c r="S476" s="13" t="str">
        <x:f>IF(COUNT(H476,J476)=2,J476-H476,"")</x:f>
      </x:c>
      <x:c r="T476" s="13" t="str">
        <x:f>IF(COUNT(I476,K476)=2,K476-I476,"")</x:f>
      </x:c>
      <x:c r="U476" s="10" t="str">
        <x:f>IF(NOT(OR(A476&lt;&gt;"",B476&lt;&gt;"",COUNT(D476:N476)&gt;0)),"",IF(OR(A476="",B476="",COUNT(D476:E476,H476:I476,L476:N476)&lt;&gt;7),"ناقص",IF(OR(MIN(D476:E476,H476:I476,L476:N476)&lt;0,Q476&lt;0),"ورودی نامعتبر",IF(R476&lt;0,"کسری",IF(R476&gt;0,"اضافه","بدون مغایرت")))))</x:f>
      </x:c>
      <x:c r="V476" s="10" t="str">
        <x:f>IF(OR(A476="",B476=""),"",IF(COUNTIFS($A$8:$A$507,A476,$B$8:$B$507,B476)&gt;1,"ثبت تکراری",""))</x:f>
      </x:c>
      <x:c r="W476" s="9"/>
    </x:row>
    <x:row r="477" ht="25" customHeight="1">
      <x:c r="A477" s="11"/>
      <x:c r="B477" s="11"/>
      <x:c r="C477" s="11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3" t="str">
        <x:f>IF(COUNT(D477:E477)=2,SUM(D477:E477),"")</x:f>
      </x:c>
      <x:c r="P477" s="13" t="str">
        <x:f>IF(COUNT(H477:I477)=2,SUM(H477:I477),"")</x:f>
      </x:c>
      <x:c r="Q477" s="13" t="str">
        <x:f>IF(AND(ISNUMBER(O477),COUNT(L477:N477)=3),O477+L477-M477-N477,"")</x:f>
      </x:c>
      <x:c r="R477" s="13" t="str">
        <x:f>IF(AND(A477&lt;&gt;"",B477&lt;&gt;"",ISNUMBER(P477),ISNUMBER(Q477)),P477-Q477,"")</x:f>
      </x:c>
      <x:c r="S477" s="13" t="str">
        <x:f>IF(COUNT(H477,J477)=2,J477-H477,"")</x:f>
      </x:c>
      <x:c r="T477" s="13" t="str">
        <x:f>IF(COUNT(I477,K477)=2,K477-I477,"")</x:f>
      </x:c>
      <x:c r="U477" s="10" t="str">
        <x:f>IF(NOT(OR(A477&lt;&gt;"",B477&lt;&gt;"",COUNT(D477:N477)&gt;0)),"",IF(OR(A477="",B477="",COUNT(D477:E477,H477:I477,L477:N477)&lt;&gt;7),"ناقص",IF(OR(MIN(D477:E477,H477:I477,L477:N477)&lt;0,Q477&lt;0),"ورودی نامعتبر",IF(R477&lt;0,"کسری",IF(R477&gt;0,"اضافه","بدون مغایرت")))))</x:f>
      </x:c>
      <x:c r="V477" s="10" t="str">
        <x:f>IF(OR(A477="",B477=""),"",IF(COUNTIFS($A$8:$A$507,A477,$B$8:$B$507,B477)&gt;1,"ثبت تکراری",""))</x:f>
      </x:c>
      <x:c r="W477" s="9"/>
    </x:row>
    <x:row r="478" ht="25" customHeight="1">
      <x:c r="A478" s="11"/>
      <x:c r="B478" s="11"/>
      <x:c r="C478" s="11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3" t="str">
        <x:f>IF(COUNT(D478:E478)=2,SUM(D478:E478),"")</x:f>
      </x:c>
      <x:c r="P478" s="13" t="str">
        <x:f>IF(COUNT(H478:I478)=2,SUM(H478:I478),"")</x:f>
      </x:c>
      <x:c r="Q478" s="13" t="str">
        <x:f>IF(AND(ISNUMBER(O478),COUNT(L478:N478)=3),O478+L478-M478-N478,"")</x:f>
      </x:c>
      <x:c r="R478" s="13" t="str">
        <x:f>IF(AND(A478&lt;&gt;"",B478&lt;&gt;"",ISNUMBER(P478),ISNUMBER(Q478)),P478-Q478,"")</x:f>
      </x:c>
      <x:c r="S478" s="13" t="str">
        <x:f>IF(COUNT(H478,J478)=2,J478-H478,"")</x:f>
      </x:c>
      <x:c r="T478" s="13" t="str">
        <x:f>IF(COUNT(I478,K478)=2,K478-I478,"")</x:f>
      </x:c>
      <x:c r="U478" s="10" t="str">
        <x:f>IF(NOT(OR(A478&lt;&gt;"",B478&lt;&gt;"",COUNT(D478:N478)&gt;0)),"",IF(OR(A478="",B478="",COUNT(D478:E478,H478:I478,L478:N478)&lt;&gt;7),"ناقص",IF(OR(MIN(D478:E478,H478:I478,L478:N478)&lt;0,Q478&lt;0),"ورودی نامعتبر",IF(R478&lt;0,"کسری",IF(R478&gt;0,"اضافه","بدون مغایرت")))))</x:f>
      </x:c>
      <x:c r="V478" s="10" t="str">
        <x:f>IF(OR(A478="",B478=""),"",IF(COUNTIFS($A$8:$A$507,A478,$B$8:$B$507,B478)&gt;1,"ثبت تکراری",""))</x:f>
      </x:c>
      <x:c r="W478" s="9"/>
    </x:row>
    <x:row r="479" ht="25" customHeight="1">
      <x:c r="A479" s="11"/>
      <x:c r="B479" s="11"/>
      <x:c r="C479" s="11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3" t="str">
        <x:f>IF(COUNT(D479:E479)=2,SUM(D479:E479),"")</x:f>
      </x:c>
      <x:c r="P479" s="13" t="str">
        <x:f>IF(COUNT(H479:I479)=2,SUM(H479:I479),"")</x:f>
      </x:c>
      <x:c r="Q479" s="13" t="str">
        <x:f>IF(AND(ISNUMBER(O479),COUNT(L479:N479)=3),O479+L479-M479-N479,"")</x:f>
      </x:c>
      <x:c r="R479" s="13" t="str">
        <x:f>IF(AND(A479&lt;&gt;"",B479&lt;&gt;"",ISNUMBER(P479),ISNUMBER(Q479)),P479-Q479,"")</x:f>
      </x:c>
      <x:c r="S479" s="13" t="str">
        <x:f>IF(COUNT(H479,J479)=2,J479-H479,"")</x:f>
      </x:c>
      <x:c r="T479" s="13" t="str">
        <x:f>IF(COUNT(I479,K479)=2,K479-I479,"")</x:f>
      </x:c>
      <x:c r="U479" s="10" t="str">
        <x:f>IF(NOT(OR(A479&lt;&gt;"",B479&lt;&gt;"",COUNT(D479:N479)&gt;0)),"",IF(OR(A479="",B479="",COUNT(D479:E479,H479:I479,L479:N479)&lt;&gt;7),"ناقص",IF(OR(MIN(D479:E479,H479:I479,L479:N479)&lt;0,Q479&lt;0),"ورودی نامعتبر",IF(R479&lt;0,"کسری",IF(R479&gt;0,"اضافه","بدون مغایرت")))))</x:f>
      </x:c>
      <x:c r="V479" s="10" t="str">
        <x:f>IF(OR(A479="",B479=""),"",IF(COUNTIFS($A$8:$A$507,A479,$B$8:$B$507,B479)&gt;1,"ثبت تکراری",""))</x:f>
      </x:c>
      <x:c r="W479" s="9"/>
    </x:row>
    <x:row r="480" ht="25" customHeight="1">
      <x:c r="A480" s="11"/>
      <x:c r="B480" s="11"/>
      <x:c r="C480" s="11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3" t="str">
        <x:f>IF(COUNT(D480:E480)=2,SUM(D480:E480),"")</x:f>
      </x:c>
      <x:c r="P480" s="13" t="str">
        <x:f>IF(COUNT(H480:I480)=2,SUM(H480:I480),"")</x:f>
      </x:c>
      <x:c r="Q480" s="13" t="str">
        <x:f>IF(AND(ISNUMBER(O480),COUNT(L480:N480)=3),O480+L480-M480-N480,"")</x:f>
      </x:c>
      <x:c r="R480" s="13" t="str">
        <x:f>IF(AND(A480&lt;&gt;"",B480&lt;&gt;"",ISNUMBER(P480),ISNUMBER(Q480)),P480-Q480,"")</x:f>
      </x:c>
      <x:c r="S480" s="13" t="str">
        <x:f>IF(COUNT(H480,J480)=2,J480-H480,"")</x:f>
      </x:c>
      <x:c r="T480" s="13" t="str">
        <x:f>IF(COUNT(I480,K480)=2,K480-I480,"")</x:f>
      </x:c>
      <x:c r="U480" s="10" t="str">
        <x:f>IF(NOT(OR(A480&lt;&gt;"",B480&lt;&gt;"",COUNT(D480:N480)&gt;0)),"",IF(OR(A480="",B480="",COUNT(D480:E480,H480:I480,L480:N480)&lt;&gt;7),"ناقص",IF(OR(MIN(D480:E480,H480:I480,L480:N480)&lt;0,Q480&lt;0),"ورودی نامعتبر",IF(R480&lt;0,"کسری",IF(R480&gt;0,"اضافه","بدون مغایرت")))))</x:f>
      </x:c>
      <x:c r="V480" s="10" t="str">
        <x:f>IF(OR(A480="",B480=""),"",IF(COUNTIFS($A$8:$A$507,A480,$B$8:$B$507,B480)&gt;1,"ثبت تکراری",""))</x:f>
      </x:c>
      <x:c r="W480" s="9"/>
    </x:row>
    <x:row r="481" ht="25" customHeight="1">
      <x:c r="A481" s="11"/>
      <x:c r="B481" s="11"/>
      <x:c r="C481" s="11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3" t="str">
        <x:f>IF(COUNT(D481:E481)=2,SUM(D481:E481),"")</x:f>
      </x:c>
      <x:c r="P481" s="13" t="str">
        <x:f>IF(COUNT(H481:I481)=2,SUM(H481:I481),"")</x:f>
      </x:c>
      <x:c r="Q481" s="13" t="str">
        <x:f>IF(AND(ISNUMBER(O481),COUNT(L481:N481)=3),O481+L481-M481-N481,"")</x:f>
      </x:c>
      <x:c r="R481" s="13" t="str">
        <x:f>IF(AND(A481&lt;&gt;"",B481&lt;&gt;"",ISNUMBER(P481),ISNUMBER(Q481)),P481-Q481,"")</x:f>
      </x:c>
      <x:c r="S481" s="13" t="str">
        <x:f>IF(COUNT(H481,J481)=2,J481-H481,"")</x:f>
      </x:c>
      <x:c r="T481" s="13" t="str">
        <x:f>IF(COUNT(I481,K481)=2,K481-I481,"")</x:f>
      </x:c>
      <x:c r="U481" s="10" t="str">
        <x:f>IF(NOT(OR(A481&lt;&gt;"",B481&lt;&gt;"",COUNT(D481:N481)&gt;0)),"",IF(OR(A481="",B481="",COUNT(D481:E481,H481:I481,L481:N481)&lt;&gt;7),"ناقص",IF(OR(MIN(D481:E481,H481:I481,L481:N481)&lt;0,Q481&lt;0),"ورودی نامعتبر",IF(R481&lt;0,"کسری",IF(R481&gt;0,"اضافه","بدون مغایرت")))))</x:f>
      </x:c>
      <x:c r="V481" s="10" t="str">
        <x:f>IF(OR(A481="",B481=""),"",IF(COUNTIFS($A$8:$A$507,A481,$B$8:$B$507,B481)&gt;1,"ثبت تکراری",""))</x:f>
      </x:c>
      <x:c r="W481" s="9"/>
    </x:row>
    <x:row r="482" ht="25" customHeight="1">
      <x:c r="A482" s="11"/>
      <x:c r="B482" s="11"/>
      <x:c r="C482" s="11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3" t="str">
        <x:f>IF(COUNT(D482:E482)=2,SUM(D482:E482),"")</x:f>
      </x:c>
      <x:c r="P482" s="13" t="str">
        <x:f>IF(COUNT(H482:I482)=2,SUM(H482:I482),"")</x:f>
      </x:c>
      <x:c r="Q482" s="13" t="str">
        <x:f>IF(AND(ISNUMBER(O482),COUNT(L482:N482)=3),O482+L482-M482-N482,"")</x:f>
      </x:c>
      <x:c r="R482" s="13" t="str">
        <x:f>IF(AND(A482&lt;&gt;"",B482&lt;&gt;"",ISNUMBER(P482),ISNUMBER(Q482)),P482-Q482,"")</x:f>
      </x:c>
      <x:c r="S482" s="13" t="str">
        <x:f>IF(COUNT(H482,J482)=2,J482-H482,"")</x:f>
      </x:c>
      <x:c r="T482" s="13" t="str">
        <x:f>IF(COUNT(I482,K482)=2,K482-I482,"")</x:f>
      </x:c>
      <x:c r="U482" s="10" t="str">
        <x:f>IF(NOT(OR(A482&lt;&gt;"",B482&lt;&gt;"",COUNT(D482:N482)&gt;0)),"",IF(OR(A482="",B482="",COUNT(D482:E482,H482:I482,L482:N482)&lt;&gt;7),"ناقص",IF(OR(MIN(D482:E482,H482:I482,L482:N482)&lt;0,Q482&lt;0),"ورودی نامعتبر",IF(R482&lt;0,"کسری",IF(R482&gt;0,"اضافه","بدون مغایرت")))))</x:f>
      </x:c>
      <x:c r="V482" s="10" t="str">
        <x:f>IF(OR(A482="",B482=""),"",IF(COUNTIFS($A$8:$A$507,A482,$B$8:$B$507,B482)&gt;1,"ثبت تکراری",""))</x:f>
      </x:c>
      <x:c r="W482" s="9"/>
    </x:row>
    <x:row r="483" ht="25" customHeight="1">
      <x:c r="A483" s="11"/>
      <x:c r="B483" s="11"/>
      <x:c r="C483" s="11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3" t="str">
        <x:f>IF(COUNT(D483:E483)=2,SUM(D483:E483),"")</x:f>
      </x:c>
      <x:c r="P483" s="13" t="str">
        <x:f>IF(COUNT(H483:I483)=2,SUM(H483:I483),"")</x:f>
      </x:c>
      <x:c r="Q483" s="13" t="str">
        <x:f>IF(AND(ISNUMBER(O483),COUNT(L483:N483)=3),O483+L483-M483-N483,"")</x:f>
      </x:c>
      <x:c r="R483" s="13" t="str">
        <x:f>IF(AND(A483&lt;&gt;"",B483&lt;&gt;"",ISNUMBER(P483),ISNUMBER(Q483)),P483-Q483,"")</x:f>
      </x:c>
      <x:c r="S483" s="13" t="str">
        <x:f>IF(COUNT(H483,J483)=2,J483-H483,"")</x:f>
      </x:c>
      <x:c r="T483" s="13" t="str">
        <x:f>IF(COUNT(I483,K483)=2,K483-I483,"")</x:f>
      </x:c>
      <x:c r="U483" s="10" t="str">
        <x:f>IF(NOT(OR(A483&lt;&gt;"",B483&lt;&gt;"",COUNT(D483:N483)&gt;0)),"",IF(OR(A483="",B483="",COUNT(D483:E483,H483:I483,L483:N483)&lt;&gt;7),"ناقص",IF(OR(MIN(D483:E483,H483:I483,L483:N483)&lt;0,Q483&lt;0),"ورودی نامعتبر",IF(R483&lt;0,"کسری",IF(R483&gt;0,"اضافه","بدون مغایرت")))))</x:f>
      </x:c>
      <x:c r="V483" s="10" t="str">
        <x:f>IF(OR(A483="",B483=""),"",IF(COUNTIFS($A$8:$A$507,A483,$B$8:$B$507,B483)&gt;1,"ثبت تکراری",""))</x:f>
      </x:c>
      <x:c r="W483" s="9"/>
    </x:row>
    <x:row r="484" ht="25" customHeight="1">
      <x:c r="A484" s="11"/>
      <x:c r="B484" s="11"/>
      <x:c r="C484" s="11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3" t="str">
        <x:f>IF(COUNT(D484:E484)=2,SUM(D484:E484),"")</x:f>
      </x:c>
      <x:c r="P484" s="13" t="str">
        <x:f>IF(COUNT(H484:I484)=2,SUM(H484:I484),"")</x:f>
      </x:c>
      <x:c r="Q484" s="13" t="str">
        <x:f>IF(AND(ISNUMBER(O484),COUNT(L484:N484)=3),O484+L484-M484-N484,"")</x:f>
      </x:c>
      <x:c r="R484" s="13" t="str">
        <x:f>IF(AND(A484&lt;&gt;"",B484&lt;&gt;"",ISNUMBER(P484),ISNUMBER(Q484)),P484-Q484,"")</x:f>
      </x:c>
      <x:c r="S484" s="13" t="str">
        <x:f>IF(COUNT(H484,J484)=2,J484-H484,"")</x:f>
      </x:c>
      <x:c r="T484" s="13" t="str">
        <x:f>IF(COUNT(I484,K484)=2,K484-I484,"")</x:f>
      </x:c>
      <x:c r="U484" s="10" t="str">
        <x:f>IF(NOT(OR(A484&lt;&gt;"",B484&lt;&gt;"",COUNT(D484:N484)&gt;0)),"",IF(OR(A484="",B484="",COUNT(D484:E484,H484:I484,L484:N484)&lt;&gt;7),"ناقص",IF(OR(MIN(D484:E484,H484:I484,L484:N484)&lt;0,Q484&lt;0),"ورودی نامعتبر",IF(R484&lt;0,"کسری",IF(R484&gt;0,"اضافه","بدون مغایرت")))))</x:f>
      </x:c>
      <x:c r="V484" s="10" t="str">
        <x:f>IF(OR(A484="",B484=""),"",IF(COUNTIFS($A$8:$A$507,A484,$B$8:$B$507,B484)&gt;1,"ثبت تکراری",""))</x:f>
      </x:c>
      <x:c r="W484" s="9"/>
    </x:row>
    <x:row r="485" ht="25" customHeight="1">
      <x:c r="A485" s="11"/>
      <x:c r="B485" s="11"/>
      <x:c r="C485" s="11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3" t="str">
        <x:f>IF(COUNT(D485:E485)=2,SUM(D485:E485),"")</x:f>
      </x:c>
      <x:c r="P485" s="13" t="str">
        <x:f>IF(COUNT(H485:I485)=2,SUM(H485:I485),"")</x:f>
      </x:c>
      <x:c r="Q485" s="13" t="str">
        <x:f>IF(AND(ISNUMBER(O485),COUNT(L485:N485)=3),O485+L485-M485-N485,"")</x:f>
      </x:c>
      <x:c r="R485" s="13" t="str">
        <x:f>IF(AND(A485&lt;&gt;"",B485&lt;&gt;"",ISNUMBER(P485),ISNUMBER(Q485)),P485-Q485,"")</x:f>
      </x:c>
      <x:c r="S485" s="13" t="str">
        <x:f>IF(COUNT(H485,J485)=2,J485-H485,"")</x:f>
      </x:c>
      <x:c r="T485" s="13" t="str">
        <x:f>IF(COUNT(I485,K485)=2,K485-I485,"")</x:f>
      </x:c>
      <x:c r="U485" s="10" t="str">
        <x:f>IF(NOT(OR(A485&lt;&gt;"",B485&lt;&gt;"",COUNT(D485:N485)&gt;0)),"",IF(OR(A485="",B485="",COUNT(D485:E485,H485:I485,L485:N485)&lt;&gt;7),"ناقص",IF(OR(MIN(D485:E485,H485:I485,L485:N485)&lt;0,Q485&lt;0),"ورودی نامعتبر",IF(R485&lt;0,"کسری",IF(R485&gt;0,"اضافه","بدون مغایرت")))))</x:f>
      </x:c>
      <x:c r="V485" s="10" t="str">
        <x:f>IF(OR(A485="",B485=""),"",IF(COUNTIFS($A$8:$A$507,A485,$B$8:$B$507,B485)&gt;1,"ثبت تکراری",""))</x:f>
      </x:c>
      <x:c r="W485" s="9"/>
    </x:row>
    <x:row r="486" ht="25" customHeight="1">
      <x:c r="A486" s="11"/>
      <x:c r="B486" s="11"/>
      <x:c r="C486" s="11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3" t="str">
        <x:f>IF(COUNT(D486:E486)=2,SUM(D486:E486),"")</x:f>
      </x:c>
      <x:c r="P486" s="13" t="str">
        <x:f>IF(COUNT(H486:I486)=2,SUM(H486:I486),"")</x:f>
      </x:c>
      <x:c r="Q486" s="13" t="str">
        <x:f>IF(AND(ISNUMBER(O486),COUNT(L486:N486)=3),O486+L486-M486-N486,"")</x:f>
      </x:c>
      <x:c r="R486" s="13" t="str">
        <x:f>IF(AND(A486&lt;&gt;"",B486&lt;&gt;"",ISNUMBER(P486),ISNUMBER(Q486)),P486-Q486,"")</x:f>
      </x:c>
      <x:c r="S486" s="13" t="str">
        <x:f>IF(COUNT(H486,J486)=2,J486-H486,"")</x:f>
      </x:c>
      <x:c r="T486" s="13" t="str">
        <x:f>IF(COUNT(I486,K486)=2,K486-I486,"")</x:f>
      </x:c>
      <x:c r="U486" s="10" t="str">
        <x:f>IF(NOT(OR(A486&lt;&gt;"",B486&lt;&gt;"",COUNT(D486:N486)&gt;0)),"",IF(OR(A486="",B486="",COUNT(D486:E486,H486:I486,L486:N486)&lt;&gt;7),"ناقص",IF(OR(MIN(D486:E486,H486:I486,L486:N486)&lt;0,Q486&lt;0),"ورودی نامعتبر",IF(R486&lt;0,"کسری",IF(R486&gt;0,"اضافه","بدون مغایرت")))))</x:f>
      </x:c>
      <x:c r="V486" s="10" t="str">
        <x:f>IF(OR(A486="",B486=""),"",IF(COUNTIFS($A$8:$A$507,A486,$B$8:$B$507,B486)&gt;1,"ثبت تکراری",""))</x:f>
      </x:c>
      <x:c r="W486" s="9"/>
    </x:row>
    <x:row r="487" ht="25" customHeight="1">
      <x:c r="A487" s="11"/>
      <x:c r="B487" s="11"/>
      <x:c r="C487" s="11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3" t="str">
        <x:f>IF(COUNT(D487:E487)=2,SUM(D487:E487),"")</x:f>
      </x:c>
      <x:c r="P487" s="13" t="str">
        <x:f>IF(COUNT(H487:I487)=2,SUM(H487:I487),"")</x:f>
      </x:c>
      <x:c r="Q487" s="13" t="str">
        <x:f>IF(AND(ISNUMBER(O487),COUNT(L487:N487)=3),O487+L487-M487-N487,"")</x:f>
      </x:c>
      <x:c r="R487" s="13" t="str">
        <x:f>IF(AND(A487&lt;&gt;"",B487&lt;&gt;"",ISNUMBER(P487),ISNUMBER(Q487)),P487-Q487,"")</x:f>
      </x:c>
      <x:c r="S487" s="13" t="str">
        <x:f>IF(COUNT(H487,J487)=2,J487-H487,"")</x:f>
      </x:c>
      <x:c r="T487" s="13" t="str">
        <x:f>IF(COUNT(I487,K487)=2,K487-I487,"")</x:f>
      </x:c>
      <x:c r="U487" s="10" t="str">
        <x:f>IF(NOT(OR(A487&lt;&gt;"",B487&lt;&gt;"",COUNT(D487:N487)&gt;0)),"",IF(OR(A487="",B487="",COUNT(D487:E487,H487:I487,L487:N487)&lt;&gt;7),"ناقص",IF(OR(MIN(D487:E487,H487:I487,L487:N487)&lt;0,Q487&lt;0),"ورودی نامعتبر",IF(R487&lt;0,"کسری",IF(R487&gt;0,"اضافه","بدون مغایرت")))))</x:f>
      </x:c>
      <x:c r="V487" s="10" t="str">
        <x:f>IF(OR(A487="",B487=""),"",IF(COUNTIFS($A$8:$A$507,A487,$B$8:$B$507,B487)&gt;1,"ثبت تکراری",""))</x:f>
      </x:c>
      <x:c r="W487" s="9"/>
    </x:row>
    <x:row r="488" ht="25" customHeight="1">
      <x:c r="A488" s="11"/>
      <x:c r="B488" s="11"/>
      <x:c r="C488" s="11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3" t="str">
        <x:f>IF(COUNT(D488:E488)=2,SUM(D488:E488),"")</x:f>
      </x:c>
      <x:c r="P488" s="13" t="str">
        <x:f>IF(COUNT(H488:I488)=2,SUM(H488:I488),"")</x:f>
      </x:c>
      <x:c r="Q488" s="13" t="str">
        <x:f>IF(AND(ISNUMBER(O488),COUNT(L488:N488)=3),O488+L488-M488-N488,"")</x:f>
      </x:c>
      <x:c r="R488" s="13" t="str">
        <x:f>IF(AND(A488&lt;&gt;"",B488&lt;&gt;"",ISNUMBER(P488),ISNUMBER(Q488)),P488-Q488,"")</x:f>
      </x:c>
      <x:c r="S488" s="13" t="str">
        <x:f>IF(COUNT(H488,J488)=2,J488-H488,"")</x:f>
      </x:c>
      <x:c r="T488" s="13" t="str">
        <x:f>IF(COUNT(I488,K488)=2,K488-I488,"")</x:f>
      </x:c>
      <x:c r="U488" s="10" t="str">
        <x:f>IF(NOT(OR(A488&lt;&gt;"",B488&lt;&gt;"",COUNT(D488:N488)&gt;0)),"",IF(OR(A488="",B488="",COUNT(D488:E488,H488:I488,L488:N488)&lt;&gt;7),"ناقص",IF(OR(MIN(D488:E488,H488:I488,L488:N488)&lt;0,Q488&lt;0),"ورودی نامعتبر",IF(R488&lt;0,"کسری",IF(R488&gt;0,"اضافه","بدون مغایرت")))))</x:f>
      </x:c>
      <x:c r="V488" s="10" t="str">
        <x:f>IF(OR(A488="",B488=""),"",IF(COUNTIFS($A$8:$A$507,A488,$B$8:$B$507,B488)&gt;1,"ثبت تکراری",""))</x:f>
      </x:c>
      <x:c r="W488" s="9"/>
    </x:row>
    <x:row r="489" ht="25" customHeight="1">
      <x:c r="A489" s="11"/>
      <x:c r="B489" s="11"/>
      <x:c r="C489" s="11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3" t="str">
        <x:f>IF(COUNT(D489:E489)=2,SUM(D489:E489),"")</x:f>
      </x:c>
      <x:c r="P489" s="13" t="str">
        <x:f>IF(COUNT(H489:I489)=2,SUM(H489:I489),"")</x:f>
      </x:c>
      <x:c r="Q489" s="13" t="str">
        <x:f>IF(AND(ISNUMBER(O489),COUNT(L489:N489)=3),O489+L489-M489-N489,"")</x:f>
      </x:c>
      <x:c r="R489" s="13" t="str">
        <x:f>IF(AND(A489&lt;&gt;"",B489&lt;&gt;"",ISNUMBER(P489),ISNUMBER(Q489)),P489-Q489,"")</x:f>
      </x:c>
      <x:c r="S489" s="13" t="str">
        <x:f>IF(COUNT(H489,J489)=2,J489-H489,"")</x:f>
      </x:c>
      <x:c r="T489" s="13" t="str">
        <x:f>IF(COUNT(I489,K489)=2,K489-I489,"")</x:f>
      </x:c>
      <x:c r="U489" s="10" t="str">
        <x:f>IF(NOT(OR(A489&lt;&gt;"",B489&lt;&gt;"",COUNT(D489:N489)&gt;0)),"",IF(OR(A489="",B489="",COUNT(D489:E489,H489:I489,L489:N489)&lt;&gt;7),"ناقص",IF(OR(MIN(D489:E489,H489:I489,L489:N489)&lt;0,Q489&lt;0),"ورودی نامعتبر",IF(R489&lt;0,"کسری",IF(R489&gt;0,"اضافه","بدون مغایرت")))))</x:f>
      </x:c>
      <x:c r="V489" s="10" t="str">
        <x:f>IF(OR(A489="",B489=""),"",IF(COUNTIFS($A$8:$A$507,A489,$B$8:$B$507,B489)&gt;1,"ثبت تکراری",""))</x:f>
      </x:c>
      <x:c r="W489" s="9"/>
    </x:row>
    <x:row r="490" ht="25" customHeight="1">
      <x:c r="A490" s="11"/>
      <x:c r="B490" s="11"/>
      <x:c r="C490" s="11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3" t="str">
        <x:f>IF(COUNT(D490:E490)=2,SUM(D490:E490),"")</x:f>
      </x:c>
      <x:c r="P490" s="13" t="str">
        <x:f>IF(COUNT(H490:I490)=2,SUM(H490:I490),"")</x:f>
      </x:c>
      <x:c r="Q490" s="13" t="str">
        <x:f>IF(AND(ISNUMBER(O490),COUNT(L490:N490)=3),O490+L490-M490-N490,"")</x:f>
      </x:c>
      <x:c r="R490" s="13" t="str">
        <x:f>IF(AND(A490&lt;&gt;"",B490&lt;&gt;"",ISNUMBER(P490),ISNUMBER(Q490)),P490-Q490,"")</x:f>
      </x:c>
      <x:c r="S490" s="13" t="str">
        <x:f>IF(COUNT(H490,J490)=2,J490-H490,"")</x:f>
      </x:c>
      <x:c r="T490" s="13" t="str">
        <x:f>IF(COUNT(I490,K490)=2,K490-I490,"")</x:f>
      </x:c>
      <x:c r="U490" s="10" t="str">
        <x:f>IF(NOT(OR(A490&lt;&gt;"",B490&lt;&gt;"",COUNT(D490:N490)&gt;0)),"",IF(OR(A490="",B490="",COUNT(D490:E490,H490:I490,L490:N490)&lt;&gt;7),"ناقص",IF(OR(MIN(D490:E490,H490:I490,L490:N490)&lt;0,Q490&lt;0),"ورودی نامعتبر",IF(R490&lt;0,"کسری",IF(R490&gt;0,"اضافه","بدون مغایرت")))))</x:f>
      </x:c>
      <x:c r="V490" s="10" t="str">
        <x:f>IF(OR(A490="",B490=""),"",IF(COUNTIFS($A$8:$A$507,A490,$B$8:$B$507,B490)&gt;1,"ثبت تکراری",""))</x:f>
      </x:c>
      <x:c r="W490" s="9"/>
    </x:row>
    <x:row r="491" ht="25" customHeight="1">
      <x:c r="A491" s="11"/>
      <x:c r="B491" s="11"/>
      <x:c r="C491" s="11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3" t="str">
        <x:f>IF(COUNT(D491:E491)=2,SUM(D491:E491),"")</x:f>
      </x:c>
      <x:c r="P491" s="13" t="str">
        <x:f>IF(COUNT(H491:I491)=2,SUM(H491:I491),"")</x:f>
      </x:c>
      <x:c r="Q491" s="13" t="str">
        <x:f>IF(AND(ISNUMBER(O491),COUNT(L491:N491)=3),O491+L491-M491-N491,"")</x:f>
      </x:c>
      <x:c r="R491" s="13" t="str">
        <x:f>IF(AND(A491&lt;&gt;"",B491&lt;&gt;"",ISNUMBER(P491),ISNUMBER(Q491)),P491-Q491,"")</x:f>
      </x:c>
      <x:c r="S491" s="13" t="str">
        <x:f>IF(COUNT(H491,J491)=2,J491-H491,"")</x:f>
      </x:c>
      <x:c r="T491" s="13" t="str">
        <x:f>IF(COUNT(I491,K491)=2,K491-I491,"")</x:f>
      </x:c>
      <x:c r="U491" s="10" t="str">
        <x:f>IF(NOT(OR(A491&lt;&gt;"",B491&lt;&gt;"",COUNT(D491:N491)&gt;0)),"",IF(OR(A491="",B491="",COUNT(D491:E491,H491:I491,L491:N491)&lt;&gt;7),"ناقص",IF(OR(MIN(D491:E491,H491:I491,L491:N491)&lt;0,Q491&lt;0),"ورودی نامعتبر",IF(R491&lt;0,"کسری",IF(R491&gt;0,"اضافه","بدون مغایرت")))))</x:f>
      </x:c>
      <x:c r="V491" s="10" t="str">
        <x:f>IF(OR(A491="",B491=""),"",IF(COUNTIFS($A$8:$A$507,A491,$B$8:$B$507,B491)&gt;1,"ثبت تکراری",""))</x:f>
      </x:c>
      <x:c r="W491" s="9"/>
    </x:row>
    <x:row r="492" ht="25" customHeight="1">
      <x:c r="A492" s="11"/>
      <x:c r="B492" s="11"/>
      <x:c r="C492" s="11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3" t="str">
        <x:f>IF(COUNT(D492:E492)=2,SUM(D492:E492),"")</x:f>
      </x:c>
      <x:c r="P492" s="13" t="str">
        <x:f>IF(COUNT(H492:I492)=2,SUM(H492:I492),"")</x:f>
      </x:c>
      <x:c r="Q492" s="13" t="str">
        <x:f>IF(AND(ISNUMBER(O492),COUNT(L492:N492)=3),O492+L492-M492-N492,"")</x:f>
      </x:c>
      <x:c r="R492" s="13" t="str">
        <x:f>IF(AND(A492&lt;&gt;"",B492&lt;&gt;"",ISNUMBER(P492),ISNUMBER(Q492)),P492-Q492,"")</x:f>
      </x:c>
      <x:c r="S492" s="13" t="str">
        <x:f>IF(COUNT(H492,J492)=2,J492-H492,"")</x:f>
      </x:c>
      <x:c r="T492" s="13" t="str">
        <x:f>IF(COUNT(I492,K492)=2,K492-I492,"")</x:f>
      </x:c>
      <x:c r="U492" s="10" t="str">
        <x:f>IF(NOT(OR(A492&lt;&gt;"",B492&lt;&gt;"",COUNT(D492:N492)&gt;0)),"",IF(OR(A492="",B492="",COUNT(D492:E492,H492:I492,L492:N492)&lt;&gt;7),"ناقص",IF(OR(MIN(D492:E492,H492:I492,L492:N492)&lt;0,Q492&lt;0),"ورودی نامعتبر",IF(R492&lt;0,"کسری",IF(R492&gt;0,"اضافه","بدون مغایرت")))))</x:f>
      </x:c>
      <x:c r="V492" s="10" t="str">
        <x:f>IF(OR(A492="",B492=""),"",IF(COUNTIFS($A$8:$A$507,A492,$B$8:$B$507,B492)&gt;1,"ثبت تکراری",""))</x:f>
      </x:c>
      <x:c r="W492" s="9"/>
    </x:row>
    <x:row r="493" ht="25" customHeight="1">
      <x:c r="A493" s="11"/>
      <x:c r="B493" s="11"/>
      <x:c r="C493" s="11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3" t="str">
        <x:f>IF(COUNT(D493:E493)=2,SUM(D493:E493),"")</x:f>
      </x:c>
      <x:c r="P493" s="13" t="str">
        <x:f>IF(COUNT(H493:I493)=2,SUM(H493:I493),"")</x:f>
      </x:c>
      <x:c r="Q493" s="13" t="str">
        <x:f>IF(AND(ISNUMBER(O493),COUNT(L493:N493)=3),O493+L493-M493-N493,"")</x:f>
      </x:c>
      <x:c r="R493" s="13" t="str">
        <x:f>IF(AND(A493&lt;&gt;"",B493&lt;&gt;"",ISNUMBER(P493),ISNUMBER(Q493)),P493-Q493,"")</x:f>
      </x:c>
      <x:c r="S493" s="13" t="str">
        <x:f>IF(COUNT(H493,J493)=2,J493-H493,"")</x:f>
      </x:c>
      <x:c r="T493" s="13" t="str">
        <x:f>IF(COUNT(I493,K493)=2,K493-I493,"")</x:f>
      </x:c>
      <x:c r="U493" s="10" t="str">
        <x:f>IF(NOT(OR(A493&lt;&gt;"",B493&lt;&gt;"",COUNT(D493:N493)&gt;0)),"",IF(OR(A493="",B493="",COUNT(D493:E493,H493:I493,L493:N493)&lt;&gt;7),"ناقص",IF(OR(MIN(D493:E493,H493:I493,L493:N493)&lt;0,Q493&lt;0),"ورودی نامعتبر",IF(R493&lt;0,"کسری",IF(R493&gt;0,"اضافه","بدون مغایرت")))))</x:f>
      </x:c>
      <x:c r="V493" s="10" t="str">
        <x:f>IF(OR(A493="",B493=""),"",IF(COUNTIFS($A$8:$A$507,A493,$B$8:$B$507,B493)&gt;1,"ثبت تکراری",""))</x:f>
      </x:c>
      <x:c r="W493" s="9"/>
    </x:row>
    <x:row r="494" ht="25" customHeight="1">
      <x:c r="A494" s="11"/>
      <x:c r="B494" s="11"/>
      <x:c r="C494" s="11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3" t="str">
        <x:f>IF(COUNT(D494:E494)=2,SUM(D494:E494),"")</x:f>
      </x:c>
      <x:c r="P494" s="13" t="str">
        <x:f>IF(COUNT(H494:I494)=2,SUM(H494:I494),"")</x:f>
      </x:c>
      <x:c r="Q494" s="13" t="str">
        <x:f>IF(AND(ISNUMBER(O494),COUNT(L494:N494)=3),O494+L494-M494-N494,"")</x:f>
      </x:c>
      <x:c r="R494" s="13" t="str">
        <x:f>IF(AND(A494&lt;&gt;"",B494&lt;&gt;"",ISNUMBER(P494),ISNUMBER(Q494)),P494-Q494,"")</x:f>
      </x:c>
      <x:c r="S494" s="13" t="str">
        <x:f>IF(COUNT(H494,J494)=2,J494-H494,"")</x:f>
      </x:c>
      <x:c r="T494" s="13" t="str">
        <x:f>IF(COUNT(I494,K494)=2,K494-I494,"")</x:f>
      </x:c>
      <x:c r="U494" s="10" t="str">
        <x:f>IF(NOT(OR(A494&lt;&gt;"",B494&lt;&gt;"",COUNT(D494:N494)&gt;0)),"",IF(OR(A494="",B494="",COUNT(D494:E494,H494:I494,L494:N494)&lt;&gt;7),"ناقص",IF(OR(MIN(D494:E494,H494:I494,L494:N494)&lt;0,Q494&lt;0),"ورودی نامعتبر",IF(R494&lt;0,"کسری",IF(R494&gt;0,"اضافه","بدون مغایرت")))))</x:f>
      </x:c>
      <x:c r="V494" s="10" t="str">
        <x:f>IF(OR(A494="",B494=""),"",IF(COUNTIFS($A$8:$A$507,A494,$B$8:$B$507,B494)&gt;1,"ثبت تکراری",""))</x:f>
      </x:c>
      <x:c r="W494" s="9"/>
    </x:row>
    <x:row r="495" ht="25" customHeight="1">
      <x:c r="A495" s="11"/>
      <x:c r="B495" s="11"/>
      <x:c r="C495" s="11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3" t="str">
        <x:f>IF(COUNT(D495:E495)=2,SUM(D495:E495),"")</x:f>
      </x:c>
      <x:c r="P495" s="13" t="str">
        <x:f>IF(COUNT(H495:I495)=2,SUM(H495:I495),"")</x:f>
      </x:c>
      <x:c r="Q495" s="13" t="str">
        <x:f>IF(AND(ISNUMBER(O495),COUNT(L495:N495)=3),O495+L495-M495-N495,"")</x:f>
      </x:c>
      <x:c r="R495" s="13" t="str">
        <x:f>IF(AND(A495&lt;&gt;"",B495&lt;&gt;"",ISNUMBER(P495),ISNUMBER(Q495)),P495-Q495,"")</x:f>
      </x:c>
      <x:c r="S495" s="13" t="str">
        <x:f>IF(COUNT(H495,J495)=2,J495-H495,"")</x:f>
      </x:c>
      <x:c r="T495" s="13" t="str">
        <x:f>IF(COUNT(I495,K495)=2,K495-I495,"")</x:f>
      </x:c>
      <x:c r="U495" s="10" t="str">
        <x:f>IF(NOT(OR(A495&lt;&gt;"",B495&lt;&gt;"",COUNT(D495:N495)&gt;0)),"",IF(OR(A495="",B495="",COUNT(D495:E495,H495:I495,L495:N495)&lt;&gt;7),"ناقص",IF(OR(MIN(D495:E495,H495:I495,L495:N495)&lt;0,Q495&lt;0),"ورودی نامعتبر",IF(R495&lt;0,"کسری",IF(R495&gt;0,"اضافه","بدون مغایرت")))))</x:f>
      </x:c>
      <x:c r="V495" s="10" t="str">
        <x:f>IF(OR(A495="",B495=""),"",IF(COUNTIFS($A$8:$A$507,A495,$B$8:$B$507,B495)&gt;1,"ثبت تکراری",""))</x:f>
      </x:c>
      <x:c r="W495" s="9"/>
    </x:row>
    <x:row r="496" ht="25" customHeight="1">
      <x:c r="A496" s="11"/>
      <x:c r="B496" s="11"/>
      <x:c r="C496" s="11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3" t="str">
        <x:f>IF(COUNT(D496:E496)=2,SUM(D496:E496),"")</x:f>
      </x:c>
      <x:c r="P496" s="13" t="str">
        <x:f>IF(COUNT(H496:I496)=2,SUM(H496:I496),"")</x:f>
      </x:c>
      <x:c r="Q496" s="13" t="str">
        <x:f>IF(AND(ISNUMBER(O496),COUNT(L496:N496)=3),O496+L496-M496-N496,"")</x:f>
      </x:c>
      <x:c r="R496" s="13" t="str">
        <x:f>IF(AND(A496&lt;&gt;"",B496&lt;&gt;"",ISNUMBER(P496),ISNUMBER(Q496)),P496-Q496,"")</x:f>
      </x:c>
      <x:c r="S496" s="13" t="str">
        <x:f>IF(COUNT(H496,J496)=2,J496-H496,"")</x:f>
      </x:c>
      <x:c r="T496" s="13" t="str">
        <x:f>IF(COUNT(I496,K496)=2,K496-I496,"")</x:f>
      </x:c>
      <x:c r="U496" s="10" t="str">
        <x:f>IF(NOT(OR(A496&lt;&gt;"",B496&lt;&gt;"",COUNT(D496:N496)&gt;0)),"",IF(OR(A496="",B496="",COUNT(D496:E496,H496:I496,L496:N496)&lt;&gt;7),"ناقص",IF(OR(MIN(D496:E496,H496:I496,L496:N496)&lt;0,Q496&lt;0),"ورودی نامعتبر",IF(R496&lt;0,"کسری",IF(R496&gt;0,"اضافه","بدون مغایرت")))))</x:f>
      </x:c>
      <x:c r="V496" s="10" t="str">
        <x:f>IF(OR(A496="",B496=""),"",IF(COUNTIFS($A$8:$A$507,A496,$B$8:$B$507,B496)&gt;1,"ثبت تکراری",""))</x:f>
      </x:c>
      <x:c r="W496" s="9"/>
    </x:row>
    <x:row r="497" ht="25" customHeight="1">
      <x:c r="A497" s="11"/>
      <x:c r="B497" s="11"/>
      <x:c r="C497" s="11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3" t="str">
        <x:f>IF(COUNT(D497:E497)=2,SUM(D497:E497),"")</x:f>
      </x:c>
      <x:c r="P497" s="13" t="str">
        <x:f>IF(COUNT(H497:I497)=2,SUM(H497:I497),"")</x:f>
      </x:c>
      <x:c r="Q497" s="13" t="str">
        <x:f>IF(AND(ISNUMBER(O497),COUNT(L497:N497)=3),O497+L497-M497-N497,"")</x:f>
      </x:c>
      <x:c r="R497" s="13" t="str">
        <x:f>IF(AND(A497&lt;&gt;"",B497&lt;&gt;"",ISNUMBER(P497),ISNUMBER(Q497)),P497-Q497,"")</x:f>
      </x:c>
      <x:c r="S497" s="13" t="str">
        <x:f>IF(COUNT(H497,J497)=2,J497-H497,"")</x:f>
      </x:c>
      <x:c r="T497" s="13" t="str">
        <x:f>IF(COUNT(I497,K497)=2,K497-I497,"")</x:f>
      </x:c>
      <x:c r="U497" s="10" t="str">
        <x:f>IF(NOT(OR(A497&lt;&gt;"",B497&lt;&gt;"",COUNT(D497:N497)&gt;0)),"",IF(OR(A497="",B497="",COUNT(D497:E497,H497:I497,L497:N497)&lt;&gt;7),"ناقص",IF(OR(MIN(D497:E497,H497:I497,L497:N497)&lt;0,Q497&lt;0),"ورودی نامعتبر",IF(R497&lt;0,"کسری",IF(R497&gt;0,"اضافه","بدون مغایرت")))))</x:f>
      </x:c>
      <x:c r="V497" s="10" t="str">
        <x:f>IF(OR(A497="",B497=""),"",IF(COUNTIFS($A$8:$A$507,A497,$B$8:$B$507,B497)&gt;1,"ثبت تکراری",""))</x:f>
      </x:c>
      <x:c r="W497" s="9"/>
    </x:row>
    <x:row r="498" ht="25" customHeight="1">
      <x:c r="A498" s="11"/>
      <x:c r="B498" s="11"/>
      <x:c r="C498" s="11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3" t="str">
        <x:f>IF(COUNT(D498:E498)=2,SUM(D498:E498),"")</x:f>
      </x:c>
      <x:c r="P498" s="13" t="str">
        <x:f>IF(COUNT(H498:I498)=2,SUM(H498:I498),"")</x:f>
      </x:c>
      <x:c r="Q498" s="13" t="str">
        <x:f>IF(AND(ISNUMBER(O498),COUNT(L498:N498)=3),O498+L498-M498-N498,"")</x:f>
      </x:c>
      <x:c r="R498" s="13" t="str">
        <x:f>IF(AND(A498&lt;&gt;"",B498&lt;&gt;"",ISNUMBER(P498),ISNUMBER(Q498)),P498-Q498,"")</x:f>
      </x:c>
      <x:c r="S498" s="13" t="str">
        <x:f>IF(COUNT(H498,J498)=2,J498-H498,"")</x:f>
      </x:c>
      <x:c r="T498" s="13" t="str">
        <x:f>IF(COUNT(I498,K498)=2,K498-I498,"")</x:f>
      </x:c>
      <x:c r="U498" s="10" t="str">
        <x:f>IF(NOT(OR(A498&lt;&gt;"",B498&lt;&gt;"",COUNT(D498:N498)&gt;0)),"",IF(OR(A498="",B498="",COUNT(D498:E498,H498:I498,L498:N498)&lt;&gt;7),"ناقص",IF(OR(MIN(D498:E498,H498:I498,L498:N498)&lt;0,Q498&lt;0),"ورودی نامعتبر",IF(R498&lt;0,"کسری",IF(R498&gt;0,"اضافه","بدون مغایرت")))))</x:f>
      </x:c>
      <x:c r="V498" s="10" t="str">
        <x:f>IF(OR(A498="",B498=""),"",IF(COUNTIFS($A$8:$A$507,A498,$B$8:$B$507,B498)&gt;1,"ثبت تکراری",""))</x:f>
      </x:c>
      <x:c r="W498" s="9"/>
    </x:row>
    <x:row r="499" ht="25" customHeight="1">
      <x:c r="A499" s="11"/>
      <x:c r="B499" s="11"/>
      <x:c r="C499" s="11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3" t="str">
        <x:f>IF(COUNT(D499:E499)=2,SUM(D499:E499),"")</x:f>
      </x:c>
      <x:c r="P499" s="13" t="str">
        <x:f>IF(COUNT(H499:I499)=2,SUM(H499:I499),"")</x:f>
      </x:c>
      <x:c r="Q499" s="13" t="str">
        <x:f>IF(AND(ISNUMBER(O499),COUNT(L499:N499)=3),O499+L499-M499-N499,"")</x:f>
      </x:c>
      <x:c r="R499" s="13" t="str">
        <x:f>IF(AND(A499&lt;&gt;"",B499&lt;&gt;"",ISNUMBER(P499),ISNUMBER(Q499)),P499-Q499,"")</x:f>
      </x:c>
      <x:c r="S499" s="13" t="str">
        <x:f>IF(COUNT(H499,J499)=2,J499-H499,"")</x:f>
      </x:c>
      <x:c r="T499" s="13" t="str">
        <x:f>IF(COUNT(I499,K499)=2,K499-I499,"")</x:f>
      </x:c>
      <x:c r="U499" s="10" t="str">
        <x:f>IF(NOT(OR(A499&lt;&gt;"",B499&lt;&gt;"",COUNT(D499:N499)&gt;0)),"",IF(OR(A499="",B499="",COUNT(D499:E499,H499:I499,L499:N499)&lt;&gt;7),"ناقص",IF(OR(MIN(D499:E499,H499:I499,L499:N499)&lt;0,Q499&lt;0),"ورودی نامعتبر",IF(R499&lt;0,"کسری",IF(R499&gt;0,"اضافه","بدون مغایرت")))))</x:f>
      </x:c>
      <x:c r="V499" s="10" t="str">
        <x:f>IF(OR(A499="",B499=""),"",IF(COUNTIFS($A$8:$A$507,A499,$B$8:$B$507,B499)&gt;1,"ثبت تکراری",""))</x:f>
      </x:c>
      <x:c r="W499" s="9"/>
    </x:row>
    <x:row r="500" ht="25" customHeight="1">
      <x:c r="A500" s="11"/>
      <x:c r="B500" s="11"/>
      <x:c r="C500" s="11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3" t="str">
        <x:f>IF(COUNT(D500:E500)=2,SUM(D500:E500),"")</x:f>
      </x:c>
      <x:c r="P500" s="13" t="str">
        <x:f>IF(COUNT(H500:I500)=2,SUM(H500:I500),"")</x:f>
      </x:c>
      <x:c r="Q500" s="13" t="str">
        <x:f>IF(AND(ISNUMBER(O500),COUNT(L500:N500)=3),O500+L500-M500-N500,"")</x:f>
      </x:c>
      <x:c r="R500" s="13" t="str">
        <x:f>IF(AND(A500&lt;&gt;"",B500&lt;&gt;"",ISNUMBER(P500),ISNUMBER(Q500)),P500-Q500,"")</x:f>
      </x:c>
      <x:c r="S500" s="13" t="str">
        <x:f>IF(COUNT(H500,J500)=2,J500-H500,"")</x:f>
      </x:c>
      <x:c r="T500" s="13" t="str">
        <x:f>IF(COUNT(I500,K500)=2,K500-I500,"")</x:f>
      </x:c>
      <x:c r="U500" s="10" t="str">
        <x:f>IF(NOT(OR(A500&lt;&gt;"",B500&lt;&gt;"",COUNT(D500:N500)&gt;0)),"",IF(OR(A500="",B500="",COUNT(D500:E500,H500:I500,L500:N500)&lt;&gt;7),"ناقص",IF(OR(MIN(D500:E500,H500:I500,L500:N500)&lt;0,Q500&lt;0),"ورودی نامعتبر",IF(R500&lt;0,"کسری",IF(R500&gt;0,"اضافه","بدون مغایرت")))))</x:f>
      </x:c>
      <x:c r="V500" s="10" t="str">
        <x:f>IF(OR(A500="",B500=""),"",IF(COUNTIFS($A$8:$A$507,A500,$B$8:$B$507,B500)&gt;1,"ثبت تکراری",""))</x:f>
      </x:c>
      <x:c r="W500" s="9"/>
    </x:row>
    <x:row r="501" ht="25" customHeight="1">
      <x:c r="A501" s="11"/>
      <x:c r="B501" s="11"/>
      <x:c r="C501" s="11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3" t="str">
        <x:f>IF(COUNT(D501:E501)=2,SUM(D501:E501),"")</x:f>
      </x:c>
      <x:c r="P501" s="13" t="str">
        <x:f>IF(COUNT(H501:I501)=2,SUM(H501:I501),"")</x:f>
      </x:c>
      <x:c r="Q501" s="13" t="str">
        <x:f>IF(AND(ISNUMBER(O501),COUNT(L501:N501)=3),O501+L501-M501-N501,"")</x:f>
      </x:c>
      <x:c r="R501" s="13" t="str">
        <x:f>IF(AND(A501&lt;&gt;"",B501&lt;&gt;"",ISNUMBER(P501),ISNUMBER(Q501)),P501-Q501,"")</x:f>
      </x:c>
      <x:c r="S501" s="13" t="str">
        <x:f>IF(COUNT(H501,J501)=2,J501-H501,"")</x:f>
      </x:c>
      <x:c r="T501" s="13" t="str">
        <x:f>IF(COUNT(I501,K501)=2,K501-I501,"")</x:f>
      </x:c>
      <x:c r="U501" s="10" t="str">
        <x:f>IF(NOT(OR(A501&lt;&gt;"",B501&lt;&gt;"",COUNT(D501:N501)&gt;0)),"",IF(OR(A501="",B501="",COUNT(D501:E501,H501:I501,L501:N501)&lt;&gt;7),"ناقص",IF(OR(MIN(D501:E501,H501:I501,L501:N501)&lt;0,Q501&lt;0),"ورودی نامعتبر",IF(R501&lt;0,"کسری",IF(R501&gt;0,"اضافه","بدون مغایرت")))))</x:f>
      </x:c>
      <x:c r="V501" s="10" t="str">
        <x:f>IF(OR(A501="",B501=""),"",IF(COUNTIFS($A$8:$A$507,A501,$B$8:$B$507,B501)&gt;1,"ثبت تکراری",""))</x:f>
      </x:c>
      <x:c r="W501" s="9"/>
    </x:row>
    <x:row r="502" ht="25" customHeight="1">
      <x:c r="A502" s="11"/>
      <x:c r="B502" s="11"/>
      <x:c r="C502" s="11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  <x:c r="O502" s="13" t="str">
        <x:f>IF(COUNT(D502:E502)=2,SUM(D502:E502),"")</x:f>
      </x:c>
      <x:c r="P502" s="13" t="str">
        <x:f>IF(COUNT(H502:I502)=2,SUM(H502:I502),"")</x:f>
      </x:c>
      <x:c r="Q502" s="13" t="str">
        <x:f>IF(AND(ISNUMBER(O502),COUNT(L502:N502)=3),O502+L502-M502-N502,"")</x:f>
      </x:c>
      <x:c r="R502" s="13" t="str">
        <x:f>IF(AND(A502&lt;&gt;"",B502&lt;&gt;"",ISNUMBER(P502),ISNUMBER(Q502)),P502-Q502,"")</x:f>
      </x:c>
      <x:c r="S502" s="13" t="str">
        <x:f>IF(COUNT(H502,J502)=2,J502-H502,"")</x:f>
      </x:c>
      <x:c r="T502" s="13" t="str">
        <x:f>IF(COUNT(I502,K502)=2,K502-I502,"")</x:f>
      </x:c>
      <x:c r="U502" s="10" t="str">
        <x:f>IF(NOT(OR(A502&lt;&gt;"",B502&lt;&gt;"",COUNT(D502:N502)&gt;0)),"",IF(OR(A502="",B502="",COUNT(D502:E502,H502:I502,L502:N502)&lt;&gt;7),"ناقص",IF(OR(MIN(D502:E502,H502:I502,L502:N502)&lt;0,Q502&lt;0),"ورودی نامعتبر",IF(R502&lt;0,"کسری",IF(R502&gt;0,"اضافه","بدون مغایرت")))))</x:f>
      </x:c>
      <x:c r="V502" s="10" t="str">
        <x:f>IF(OR(A502="",B502=""),"",IF(COUNTIFS($A$8:$A$507,A502,$B$8:$B$507,B502)&gt;1,"ثبت تکراری",""))</x:f>
      </x:c>
      <x:c r="W502" s="9"/>
    </x:row>
    <x:row r="503" ht="25" customHeight="1">
      <x:c r="A503" s="11"/>
      <x:c r="B503" s="11"/>
      <x:c r="C503" s="11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  <x:c r="O503" s="13" t="str">
        <x:f>IF(COUNT(D503:E503)=2,SUM(D503:E503),"")</x:f>
      </x:c>
      <x:c r="P503" s="13" t="str">
        <x:f>IF(COUNT(H503:I503)=2,SUM(H503:I503),"")</x:f>
      </x:c>
      <x:c r="Q503" s="13" t="str">
        <x:f>IF(AND(ISNUMBER(O503),COUNT(L503:N503)=3),O503+L503-M503-N503,"")</x:f>
      </x:c>
      <x:c r="R503" s="13" t="str">
        <x:f>IF(AND(A503&lt;&gt;"",B503&lt;&gt;"",ISNUMBER(P503),ISNUMBER(Q503)),P503-Q503,"")</x:f>
      </x:c>
      <x:c r="S503" s="13" t="str">
        <x:f>IF(COUNT(H503,J503)=2,J503-H503,"")</x:f>
      </x:c>
      <x:c r="T503" s="13" t="str">
        <x:f>IF(COUNT(I503,K503)=2,K503-I503,"")</x:f>
      </x:c>
      <x:c r="U503" s="10" t="str">
        <x:f>IF(NOT(OR(A503&lt;&gt;"",B503&lt;&gt;"",COUNT(D503:N503)&gt;0)),"",IF(OR(A503="",B503="",COUNT(D503:E503,H503:I503,L503:N503)&lt;&gt;7),"ناقص",IF(OR(MIN(D503:E503,H503:I503,L503:N503)&lt;0,Q503&lt;0),"ورودی نامعتبر",IF(R503&lt;0,"کسری",IF(R503&gt;0,"اضافه","بدون مغایرت")))))</x:f>
      </x:c>
      <x:c r="V503" s="10" t="str">
        <x:f>IF(OR(A503="",B503=""),"",IF(COUNTIFS($A$8:$A$507,A503,$B$8:$B$507,B503)&gt;1,"ثبت تکراری",""))</x:f>
      </x:c>
      <x:c r="W503" s="9"/>
    </x:row>
    <x:row r="504" ht="25" customHeight="1">
      <x:c r="A504" s="11"/>
      <x:c r="B504" s="11"/>
      <x:c r="C504" s="11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  <x:c r="O504" s="13" t="str">
        <x:f>IF(COUNT(D504:E504)=2,SUM(D504:E504),"")</x:f>
      </x:c>
      <x:c r="P504" s="13" t="str">
        <x:f>IF(COUNT(H504:I504)=2,SUM(H504:I504),"")</x:f>
      </x:c>
      <x:c r="Q504" s="13" t="str">
        <x:f>IF(AND(ISNUMBER(O504),COUNT(L504:N504)=3),O504+L504-M504-N504,"")</x:f>
      </x:c>
      <x:c r="R504" s="13" t="str">
        <x:f>IF(AND(A504&lt;&gt;"",B504&lt;&gt;"",ISNUMBER(P504),ISNUMBER(Q504)),P504-Q504,"")</x:f>
      </x:c>
      <x:c r="S504" s="13" t="str">
        <x:f>IF(COUNT(H504,J504)=2,J504-H504,"")</x:f>
      </x:c>
      <x:c r="T504" s="13" t="str">
        <x:f>IF(COUNT(I504,K504)=2,K504-I504,"")</x:f>
      </x:c>
      <x:c r="U504" s="10" t="str">
        <x:f>IF(NOT(OR(A504&lt;&gt;"",B504&lt;&gt;"",COUNT(D504:N504)&gt;0)),"",IF(OR(A504="",B504="",COUNT(D504:E504,H504:I504,L504:N504)&lt;&gt;7),"ناقص",IF(OR(MIN(D504:E504,H504:I504,L504:N504)&lt;0,Q504&lt;0),"ورودی نامعتبر",IF(R504&lt;0,"کسری",IF(R504&gt;0,"اضافه","بدون مغایرت")))))</x:f>
      </x:c>
      <x:c r="V504" s="10" t="str">
        <x:f>IF(OR(A504="",B504=""),"",IF(COUNTIFS($A$8:$A$507,A504,$B$8:$B$507,B504)&gt;1,"ثبت تکراری",""))</x:f>
      </x:c>
      <x:c r="W504" s="9"/>
    </x:row>
    <x:row r="505" ht="25" customHeight="1">
      <x:c r="A505" s="11"/>
      <x:c r="B505" s="11"/>
      <x:c r="C505" s="11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  <x:c r="O505" s="13" t="str">
        <x:f>IF(COUNT(D505:E505)=2,SUM(D505:E505),"")</x:f>
      </x:c>
      <x:c r="P505" s="13" t="str">
        <x:f>IF(COUNT(H505:I505)=2,SUM(H505:I505),"")</x:f>
      </x:c>
      <x:c r="Q505" s="13" t="str">
        <x:f>IF(AND(ISNUMBER(O505),COUNT(L505:N505)=3),O505+L505-M505-N505,"")</x:f>
      </x:c>
      <x:c r="R505" s="13" t="str">
        <x:f>IF(AND(A505&lt;&gt;"",B505&lt;&gt;"",ISNUMBER(P505),ISNUMBER(Q505)),P505-Q505,"")</x:f>
      </x:c>
      <x:c r="S505" s="13" t="str">
        <x:f>IF(COUNT(H505,J505)=2,J505-H505,"")</x:f>
      </x:c>
      <x:c r="T505" s="13" t="str">
        <x:f>IF(COUNT(I505,K505)=2,K505-I505,"")</x:f>
      </x:c>
      <x:c r="U505" s="10" t="str">
        <x:f>IF(NOT(OR(A505&lt;&gt;"",B505&lt;&gt;"",COUNT(D505:N505)&gt;0)),"",IF(OR(A505="",B505="",COUNT(D505:E505,H505:I505,L505:N505)&lt;&gt;7),"ناقص",IF(OR(MIN(D505:E505,H505:I505,L505:N505)&lt;0,Q505&lt;0),"ورودی نامعتبر",IF(R505&lt;0,"کسری",IF(R505&gt;0,"اضافه","بدون مغایرت")))))</x:f>
      </x:c>
      <x:c r="V505" s="10" t="str">
        <x:f>IF(OR(A505="",B505=""),"",IF(COUNTIFS($A$8:$A$507,A505,$B$8:$B$507,B505)&gt;1,"ثبت تکراری",""))</x:f>
      </x:c>
      <x:c r="W505" s="9"/>
    </x:row>
    <x:row r="506" ht="25" customHeight="1">
      <x:c r="A506" s="11"/>
      <x:c r="B506" s="11"/>
      <x:c r="C506" s="11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  <x:c r="O506" s="13" t="str">
        <x:f>IF(COUNT(D506:E506)=2,SUM(D506:E506),"")</x:f>
      </x:c>
      <x:c r="P506" s="13" t="str">
        <x:f>IF(COUNT(H506:I506)=2,SUM(H506:I506),"")</x:f>
      </x:c>
      <x:c r="Q506" s="13" t="str">
        <x:f>IF(AND(ISNUMBER(O506),COUNT(L506:N506)=3),O506+L506-M506-N506,"")</x:f>
      </x:c>
      <x:c r="R506" s="13" t="str">
        <x:f>IF(AND(A506&lt;&gt;"",B506&lt;&gt;"",ISNUMBER(P506),ISNUMBER(Q506)),P506-Q506,"")</x:f>
      </x:c>
      <x:c r="S506" s="13" t="str">
        <x:f>IF(COUNT(H506,J506)=2,J506-H506,"")</x:f>
      </x:c>
      <x:c r="T506" s="13" t="str">
        <x:f>IF(COUNT(I506,K506)=2,K506-I506,"")</x:f>
      </x:c>
      <x:c r="U506" s="10" t="str">
        <x:f>IF(NOT(OR(A506&lt;&gt;"",B506&lt;&gt;"",COUNT(D506:N506)&gt;0)),"",IF(OR(A506="",B506="",COUNT(D506:E506,H506:I506,L506:N506)&lt;&gt;7),"ناقص",IF(OR(MIN(D506:E506,H506:I506,L506:N506)&lt;0,Q506&lt;0),"ورودی نامعتبر",IF(R506&lt;0,"کسری",IF(R506&gt;0,"اضافه","بدون مغایرت")))))</x:f>
      </x:c>
      <x:c r="V506" s="10" t="str">
        <x:f>IF(OR(A506="",B506=""),"",IF(COUNTIFS($A$8:$A$507,A506,$B$8:$B$507,B506)&gt;1,"ثبت تکراری",""))</x:f>
      </x:c>
      <x:c r="W506" s="9"/>
    </x:row>
    <x:row r="507" ht="25" customHeight="1">
      <x:c r="A507" s="11"/>
      <x:c r="B507" s="11"/>
      <x:c r="C507" s="11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  <x:c r="O507" s="13" t="str">
        <x:f>IF(COUNT(D507:E507)=2,SUM(D507:E507),"")</x:f>
      </x:c>
      <x:c r="P507" s="13" t="str">
        <x:f>IF(COUNT(H507:I507)=2,SUM(H507:I507),"")</x:f>
      </x:c>
      <x:c r="Q507" s="13" t="str">
        <x:f>IF(AND(ISNUMBER(O507),COUNT(L507:N507)=3),O507+L507-M507-N507,"")</x:f>
      </x:c>
      <x:c r="R507" s="13" t="str">
        <x:f>IF(AND(A507&lt;&gt;"",B507&lt;&gt;"",ISNUMBER(P507),ISNUMBER(Q507)),P507-Q507,"")</x:f>
      </x:c>
      <x:c r="S507" s="13" t="str">
        <x:f>IF(COUNT(H507,J507)=2,J507-H507,"")</x:f>
      </x:c>
      <x:c r="T507" s="13" t="str">
        <x:f>IF(COUNT(I507,K507)=2,K507-I507,"")</x:f>
      </x:c>
      <x:c r="U507" s="10" t="str">
        <x:f>IF(NOT(OR(A507&lt;&gt;"",B507&lt;&gt;"",COUNT(D507:N507)&gt;0)),"",IF(OR(A507="",B507="",COUNT(D507:E507,H507:I507,L507:N507)&lt;&gt;7),"ناقص",IF(OR(MIN(D507:E507,H507:I507,L507:N507)&lt;0,Q507&lt;0),"ورودی نامعتبر",IF(R507&lt;0,"کسری",IF(R507&gt;0,"اضافه","بدون مغایرت")))))</x:f>
      </x:c>
      <x:c r="V507" s="10" t="str">
        <x:f>IF(OR(A507="",B507=""),"",IF(COUNTIFS($A$8:$A$507,A507,$B$8:$B$507,B507)&gt;1,"ثبت تکراری",""))</x:f>
      </x:c>
      <x:c r="W507" s="9"/>
    </x:row>
  </x:sheetData>
  <x:conditionalFormatting sqref="R8:R507">
    <x:cfRule type="expression" dxfId="0" priority="1">
      <x:formula>AND(ISNUMBER(R8),R8&lt;0)</x:formula>
    </x:cfRule>
    <x:cfRule type="expression" dxfId="1" priority="2">
      <x:formula>AND(ISNUMBER(R8),R8&gt;0)</x:formula>
    </x:cfRule>
  </x:conditionalFormatting>
  <x:conditionalFormatting sqref="S8:S507">
    <x:cfRule type="expression" dxfId="2" priority="3">
      <x:formula>AND(ISNUMBER(S8),S8&lt;0)</x:formula>
    </x:cfRule>
    <x:cfRule type="expression" dxfId="3" priority="4">
      <x:formula>AND(ISNUMBER(S8),S8&gt;0)</x:formula>
    </x:cfRule>
  </x:conditionalFormatting>
  <x:conditionalFormatting sqref="T8:T507">
    <x:cfRule type="expression" dxfId="4" priority="5">
      <x:formula>AND(ISNUMBER(T8),T8&lt;0)</x:formula>
    </x:cfRule>
    <x:cfRule type="expression" dxfId="5" priority="6">
      <x:formula>AND(ISNUMBER(T8),T8&gt;0)</x:formula>
    </x:cfRule>
  </x:conditionalFormatting>
  <x:conditionalFormatting sqref="U8:V507">
    <x:cfRule type="expression" dxfId="6" priority="7">
      <x:formula>OR($U8="ناقص",$U8="ورودی نامعتبر",$V8="ثبت تکراری")</x:formula>
    </x:cfRule>
  </x:conditionalFormatting>
  <x:dataValidations count="1">
    <x:dataValidation type="whole" operator="between" sqref="D8:N507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e441c30b064f34"/>
  </x:tableParts>
</x:worksheet>
</file>